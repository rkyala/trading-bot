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Tracker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Spending Summary" sheetId="4" state="visible" r:id="rId4"/>
  </sheets>
  <definedNames>
    <definedName name="_xlnm._FilterDatabase" localSheetId="2" hidden="1">'Transactions'!$A$1:$E$403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"/>
    <numFmt numFmtId="166" formatCode="yyyy-mm-dd h:mm:ss"/>
    <numFmt numFmtId="167" formatCode="mm/dd/yyyy"/>
    <numFmt numFmtId="168" formatCode="$#,##0.00;($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1F3864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</font>
    <font>
      <name val="Arial"/>
      <b val="1"/>
      <color rgb="001F3864"/>
      <sz val="14"/>
    </font>
    <font>
      <name val="Arial"/>
      <i val="1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5" fontId="7" fillId="0" borderId="1" pivotButton="0" quotePrefix="0" xfId="0"/>
    <xf numFmtId="164" fontId="8" fillId="0" borderId="1" pivotButton="0" quotePrefix="0" xfId="0"/>
    <xf numFmtId="164" fontId="11" fillId="0" borderId="1" pivotButton="0" quotePrefix="0" xfId="0"/>
    <xf numFmtId="167" fontId="8" fillId="0" borderId="1" pivotButton="0" quotePrefix="0" xfId="0"/>
    <xf numFmtId="0" fontId="8" fillId="0" borderId="1" pivotButton="0" quotePrefix="0" xfId="0"/>
    <xf numFmtId="168" fontId="8" fillId="0" borderId="1" pivotButton="0" quotePrefix="0" xfId="0"/>
    <xf numFmtId="0" fontId="9" fillId="0" borderId="0" pivotButton="0" quotePrefix="0" xfId="0"/>
    <xf numFmtId="165" fontId="8" fillId="0" borderId="1" pivotButton="0" quotePrefix="0" xfId="0"/>
    <xf numFmtId="0" fontId="1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Budgeted Spending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 Budget'!$A$12:$A$26</f>
            </numRef>
          </cat>
          <val>
            <numRef>
              <f>'Monthly Budget'!$B$12:$B$26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Budget'!B11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Budget'!$A$12:$A$26</f>
            </numRef>
          </cat>
          <val>
            <numRef>
              <f>'Monthly Budget'!$B$12:$B$26</f>
            </numRef>
          </val>
        </ser>
        <ser>
          <idx val="1"/>
          <order val="1"/>
          <tx>
            <strRef>
              <f>'Monthly Budget'!C11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Budget'!$A$12:$A$26</f>
            </numRef>
          </cat>
          <val>
            <numRef>
              <f>'Monthly Budget'!$C$12:$C$26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Savings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Tracker'!$K$22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Tracker'!$L$22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Tracker'!$B$4:$M$4</f>
            </numRef>
          </cat>
          <val>
            <numRef>
              <f>'Annual Tracker'!$M$22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90-Day Net Spend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'Spending Summary'!$A$5:$A$15</f>
            </numRef>
          </cat>
          <val>
            <numRef>
              <f>'Spending Summary'!$F$5:$F$15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excl. Travel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'Spending Summary'!$B$4:$E$4</f>
            </numRef>
          </cat>
          <val>
            <numRef>
              <f>'Spending Summary'!$B$17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'Spending Summary'!$B$4:$E$4</f>
            </numRef>
          </cat>
          <val>
            <numRef>
              <f>'Spending Summary'!$C$17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'Spending Summary'!$B$4:$E$4</f>
            </numRef>
          </cat>
          <val>
            <numRef>
              <f>'Spending Summary'!$D$17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'Spending Summary'!$B$4:$E$4</f>
            </numRef>
          </cat>
          <val>
            <numRef>
              <f>'Spending Summary'!$E$17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Monthly Budget Planner</t>
        </is>
      </c>
    </row>
    <row r="2">
      <c r="A2" s="2" t="inlineStr">
        <is>
          <t>Blue cells are inputs. Actual column (green) = 90-day monthly average from your card data (Spending Summary sheet).</t>
        </is>
      </c>
    </row>
    <row r="4">
      <c r="A4" s="3" t="inlineStr">
        <is>
          <t>INCOME</t>
        </is>
      </c>
      <c r="B4" s="4" t="n"/>
    </row>
    <row r="5">
      <c r="A5" s="5" t="inlineStr">
        <is>
          <t>Source</t>
        </is>
      </c>
      <c r="B5" s="5" t="inlineStr">
        <is>
          <t>Monthly Amount ($)</t>
        </is>
      </c>
    </row>
    <row r="6">
      <c r="A6" s="6" t="inlineStr">
        <is>
          <t>Salary (take-home)</t>
        </is>
      </c>
      <c r="B6" s="7" t="n">
        <v>5000</v>
      </c>
    </row>
    <row r="7">
      <c r="A7" s="6" t="inlineStr">
        <is>
          <t>Other Income</t>
        </is>
      </c>
      <c r="B7" s="7" t="n">
        <v>200</v>
      </c>
    </row>
    <row r="8">
      <c r="A8" s="8" t="inlineStr">
        <is>
          <t>Total Income</t>
        </is>
      </c>
      <c r="B8" s="9">
        <f>SUM(B6:B7)</f>
        <v/>
      </c>
    </row>
    <row r="10">
      <c r="A10" s="3" t="inlineStr">
        <is>
          <t>EXPENSES</t>
        </is>
      </c>
      <c r="B10" s="4" t="n"/>
      <c r="C10" s="4" t="n"/>
      <c r="D10" s="4" t="n"/>
      <c r="E10" s="4" t="n"/>
    </row>
    <row r="11">
      <c r="A11" s="5" t="inlineStr">
        <is>
          <t>Category</t>
        </is>
      </c>
      <c r="B11" s="5" t="inlineStr">
        <is>
          <t>Budgeted ($)</t>
        </is>
      </c>
      <c r="C11" s="5" t="inlineStr">
        <is>
          <t>Actual ($)</t>
        </is>
      </c>
      <c r="D11" s="5" t="inlineStr">
        <is>
          <t>Difference ($)</t>
        </is>
      </c>
      <c r="E11" s="5" t="inlineStr">
        <is>
          <t>% of Income</t>
        </is>
      </c>
    </row>
    <row r="12">
      <c r="A12" s="6" t="inlineStr">
        <is>
          <t>Rent / Mortgage</t>
        </is>
      </c>
      <c r="B12" s="7" t="n">
        <v>1800</v>
      </c>
      <c r="C12" s="7" t="n">
        <v>0</v>
      </c>
      <c r="D12" s="10">
        <f>B12-C12</f>
        <v/>
      </c>
      <c r="E12" s="11">
        <f>IF($B$8=0,0,B12/$B$8)</f>
        <v/>
      </c>
    </row>
    <row r="13">
      <c r="A13" s="6" t="inlineStr">
        <is>
          <t>Utilities</t>
        </is>
      </c>
      <c r="B13" s="7" t="n">
        <v>150</v>
      </c>
      <c r="C13" s="7" t="n">
        <v>0</v>
      </c>
      <c r="D13" s="10">
        <f>B13-C13</f>
        <v/>
      </c>
      <c r="E13" s="11">
        <f>IF($B$8=0,0,B13/$B$8)</f>
        <v/>
      </c>
    </row>
    <row r="14">
      <c r="A14" s="6" t="inlineStr">
        <is>
          <t>Internet &amp; Phone</t>
        </is>
      </c>
      <c r="B14" s="7" t="n">
        <v>90</v>
      </c>
      <c r="C14" s="14">
        <f>'Spending Summary'!G9</f>
        <v/>
      </c>
      <c r="D14" s="10">
        <f>B14-C14</f>
        <v/>
      </c>
      <c r="E14" s="11">
        <f>IF($B$8=0,0,B14/$B$8)</f>
        <v/>
      </c>
    </row>
    <row r="15">
      <c r="A15" s="6" t="inlineStr">
        <is>
          <t>Insurance</t>
        </is>
      </c>
      <c r="B15" s="7" t="n">
        <v>200</v>
      </c>
      <c r="C15" s="7" t="n">
        <v>0</v>
      </c>
      <c r="D15" s="10">
        <f>B15-C15</f>
        <v/>
      </c>
      <c r="E15" s="11">
        <f>IF($B$8=0,0,B15/$B$8)</f>
        <v/>
      </c>
    </row>
    <row r="16">
      <c r="A16" s="6" t="inlineStr">
        <is>
          <t>Car Payment</t>
        </is>
      </c>
      <c r="B16" s="7" t="n">
        <v>350</v>
      </c>
      <c r="C16" s="7" t="n">
        <v>0</v>
      </c>
      <c r="D16" s="10">
        <f>B16-C16</f>
        <v/>
      </c>
      <c r="E16" s="11">
        <f>IF($B$8=0,0,B16/$B$8)</f>
        <v/>
      </c>
    </row>
    <row r="17">
      <c r="A17" s="6" t="inlineStr">
        <is>
          <t>Debt Payments</t>
        </is>
      </c>
      <c r="B17" s="7" t="n">
        <v>250</v>
      </c>
      <c r="C17" s="7" t="n">
        <v>0</v>
      </c>
      <c r="D17" s="10">
        <f>B17-C17</f>
        <v/>
      </c>
      <c r="E17" s="11">
        <f>IF($B$8=0,0,B17/$B$8)</f>
        <v/>
      </c>
    </row>
    <row r="18">
      <c r="A18" s="6" t="inlineStr">
        <is>
          <t>Groceries</t>
        </is>
      </c>
      <c r="B18" s="7" t="n">
        <v>500</v>
      </c>
      <c r="C18" s="14">
        <f>'Spending Summary'!G8</f>
        <v/>
      </c>
      <c r="D18" s="10">
        <f>B18-C18</f>
        <v/>
      </c>
      <c r="E18" s="11">
        <f>IF($B$8=0,0,B18/$B$8)</f>
        <v/>
      </c>
    </row>
    <row r="19">
      <c r="A19" s="6" t="inlineStr">
        <is>
          <t>Gas / Transit</t>
        </is>
      </c>
      <c r="B19" s="7" t="n">
        <v>150</v>
      </c>
      <c r="C19" s="14">
        <f>'Spending Summary'!G11</f>
        <v/>
      </c>
      <c r="D19" s="10">
        <f>B19-C19</f>
        <v/>
      </c>
      <c r="E19" s="11">
        <f>IF($B$8=0,0,B19/$B$8)</f>
        <v/>
      </c>
    </row>
    <row r="20">
      <c r="A20" s="6" t="inlineStr">
        <is>
          <t>Dining Out</t>
        </is>
      </c>
      <c r="B20" s="7" t="n">
        <v>250</v>
      </c>
      <c r="C20" s="14">
        <f>'Spending Summary'!G7</f>
        <v/>
      </c>
      <c r="D20" s="10">
        <f>B20-C20</f>
        <v/>
      </c>
      <c r="E20" s="11">
        <f>IF($B$8=0,0,B20/$B$8)</f>
        <v/>
      </c>
    </row>
    <row r="21">
      <c r="A21" s="6" t="inlineStr">
        <is>
          <t>Entertainment</t>
        </is>
      </c>
      <c r="B21" s="7" t="n">
        <v>100</v>
      </c>
      <c r="C21" s="14">
        <f>'Spending Summary'!G12</f>
        <v/>
      </c>
      <c r="D21" s="10">
        <f>B21-C21</f>
        <v/>
      </c>
      <c r="E21" s="11">
        <f>IF($B$8=0,0,B21/$B$8)</f>
        <v/>
      </c>
    </row>
    <row r="22">
      <c r="A22" s="6" t="inlineStr">
        <is>
          <t>Subscriptions</t>
        </is>
      </c>
      <c r="B22" s="7" t="n">
        <v>60</v>
      </c>
      <c r="C22" s="14">
        <f>'Spending Summary'!G14</f>
        <v/>
      </c>
      <c r="D22" s="10">
        <f>B22-C22</f>
        <v/>
      </c>
      <c r="E22" s="11">
        <f>IF($B$8=0,0,B22/$B$8)</f>
        <v/>
      </c>
    </row>
    <row r="23">
      <c r="A23" s="6" t="inlineStr">
        <is>
          <t>Health &amp; Fitness</t>
        </is>
      </c>
      <c r="B23" s="7" t="n">
        <v>80</v>
      </c>
      <c r="C23" s="14">
        <f>'Spending Summary'!G10</f>
        <v/>
      </c>
      <c r="D23" s="10">
        <f>B23-C23</f>
        <v/>
      </c>
      <c r="E23" s="11">
        <f>IF($B$8=0,0,B23/$B$8)</f>
        <v/>
      </c>
    </row>
    <row r="24">
      <c r="A24" s="6" t="inlineStr">
        <is>
          <t>Personal Care</t>
        </is>
      </c>
      <c r="B24" s="7" t="n">
        <v>75</v>
      </c>
      <c r="C24" s="14">
        <f>'Spending Summary'!G15</f>
        <v/>
      </c>
      <c r="D24" s="10">
        <f>B24-C24</f>
        <v/>
      </c>
      <c r="E24" s="11">
        <f>IF($B$8=0,0,B24/$B$8)</f>
        <v/>
      </c>
    </row>
    <row r="25">
      <c r="A25" s="6" t="inlineStr">
        <is>
          <t>Shopping</t>
        </is>
      </c>
      <c r="B25" s="7" t="n">
        <v>150</v>
      </c>
      <c r="C25" s="14">
        <f>'Spending Summary'!G6</f>
        <v/>
      </c>
      <c r="D25" s="10">
        <f>B25-C25</f>
        <v/>
      </c>
      <c r="E25" s="11">
        <f>IF($B$8=0,0,B25/$B$8)</f>
        <v/>
      </c>
    </row>
    <row r="26">
      <c r="A26" s="6" t="inlineStr">
        <is>
          <t>Miscellaneous</t>
        </is>
      </c>
      <c r="B26" s="7" t="n">
        <v>100</v>
      </c>
      <c r="C26" s="14">
        <f>'Spending Summary'!G13</f>
        <v/>
      </c>
      <c r="D26" s="10">
        <f>B26-C26</f>
        <v/>
      </c>
      <c r="E26" s="11">
        <f>IF($B$8=0,0,B26/$B$8)</f>
        <v/>
      </c>
    </row>
    <row r="27">
      <c r="A27" s="9" t="inlineStr">
        <is>
          <t>Total Expenses</t>
        </is>
      </c>
      <c r="B27" s="9">
        <f>SUM(B12:B26)</f>
        <v/>
      </c>
      <c r="C27" s="9">
        <f>SUM(C12:C26)</f>
        <v/>
      </c>
      <c r="D27" s="9">
        <f>B27-C27</f>
        <v/>
      </c>
      <c r="E27" s="12">
        <f>IF($B$8=0,0,B27/$B$8)</f>
        <v/>
      </c>
    </row>
    <row r="29">
      <c r="A29" s="3" t="inlineStr">
        <is>
          <t>SUMMARY</t>
        </is>
      </c>
      <c r="B29" s="4" t="n"/>
      <c r="C29" s="4" t="n"/>
    </row>
    <row r="30">
      <c r="A30" s="5" t="inlineStr"/>
      <c r="B30" s="5" t="inlineStr">
        <is>
          <t>Budgeted ($)</t>
        </is>
      </c>
      <c r="C30" s="5" t="inlineStr">
        <is>
          <t>Actual ($)</t>
        </is>
      </c>
    </row>
    <row r="31">
      <c r="A31" s="8" t="inlineStr">
        <is>
          <t>Total Income</t>
        </is>
      </c>
      <c r="B31" s="10">
        <f>$B$8</f>
        <v/>
      </c>
      <c r="C31" s="10">
        <f>$B$8</f>
        <v/>
      </c>
    </row>
    <row r="32">
      <c r="A32" s="8" t="inlineStr">
        <is>
          <t>Total Expenses</t>
        </is>
      </c>
      <c r="B32" s="10">
        <f>B27</f>
        <v/>
      </c>
      <c r="C32" s="10">
        <f>C27</f>
        <v/>
      </c>
    </row>
    <row r="33">
      <c r="A33" s="8" t="inlineStr">
        <is>
          <t>Savings</t>
        </is>
      </c>
      <c r="B33" s="10">
        <f>B31-B32</f>
        <v/>
      </c>
      <c r="C33" s="10">
        <f>C31-C32</f>
        <v/>
      </c>
    </row>
    <row r="34">
      <c r="A34" s="8" t="inlineStr">
        <is>
          <t>Savings Rate</t>
        </is>
      </c>
      <c r="B34" s="11">
        <f>IF(B31=0,0,B33/B31)</f>
        <v/>
      </c>
      <c r="C34" s="11">
        <f>IF(C31=0,0,C33/C31)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Annual Expense Tracker</t>
        </is>
      </c>
    </row>
    <row r="2">
      <c r="A2" s="2" t="inlineStr">
        <is>
          <t>Enter actuals each month (blue cells)</t>
        </is>
      </c>
    </row>
    <row r="4">
      <c r="A4" s="5" t="inlineStr">
        <is>
          <t>Category</t>
        </is>
      </c>
      <c r="B4" s="5" t="inlineStr">
        <is>
          <t>Jan</t>
        </is>
      </c>
      <c r="C4" s="5" t="inlineStr">
        <is>
          <t>Feb</t>
        </is>
      </c>
      <c r="D4" s="5" t="inlineStr">
        <is>
          <t>Mar</t>
        </is>
      </c>
      <c r="E4" s="5" t="inlineStr">
        <is>
          <t>Apr</t>
        </is>
      </c>
      <c r="F4" s="5" t="inlineStr">
        <is>
          <t>May</t>
        </is>
      </c>
      <c r="G4" s="5" t="inlineStr">
        <is>
          <t>Jun</t>
        </is>
      </c>
      <c r="H4" s="5" t="inlineStr">
        <is>
          <t>Jul</t>
        </is>
      </c>
      <c r="I4" s="5" t="inlineStr">
        <is>
          <t>Aug</t>
        </is>
      </c>
      <c r="J4" s="5" t="inlineStr">
        <is>
          <t>Sep</t>
        </is>
      </c>
      <c r="K4" s="5" t="inlineStr">
        <is>
          <t>Oct</t>
        </is>
      </c>
      <c r="L4" s="5" t="inlineStr">
        <is>
          <t>Nov</t>
        </is>
      </c>
      <c r="M4" s="5" t="inlineStr">
        <is>
          <t>Dec</t>
        </is>
      </c>
      <c r="N4" s="5" t="inlineStr">
        <is>
          <t>Total ($)</t>
        </is>
      </c>
      <c r="O4" s="5" t="inlineStr">
        <is>
          <t>Monthly Avg ($)</t>
        </is>
      </c>
    </row>
    <row r="5">
      <c r="A5" s="8" t="inlineStr">
        <is>
          <t>Income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13">
        <f>SUM(B5:M5)</f>
        <v/>
      </c>
      <c r="O5" s="13">
        <f>AVERAGE(B5:M5)</f>
        <v/>
      </c>
    </row>
    <row r="6">
      <c r="A6" s="6" t="inlineStr">
        <is>
          <t>Rent / Mortgage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13">
        <f>SUM(B6:M6)</f>
        <v/>
      </c>
      <c r="O6" s="13">
        <f>AVERAGE(B6:M6)</f>
        <v/>
      </c>
    </row>
    <row r="7">
      <c r="A7" s="6" t="inlineStr">
        <is>
          <t>Utilities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13">
        <f>SUM(B7:M7)</f>
        <v/>
      </c>
      <c r="O7" s="13">
        <f>AVERAGE(B7:M7)</f>
        <v/>
      </c>
    </row>
    <row r="8">
      <c r="A8" s="6" t="inlineStr">
        <is>
          <t>Internet &amp; Phone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13">
        <f>SUM(B8:M8)</f>
        <v/>
      </c>
      <c r="O8" s="13">
        <f>AVERAGE(B8:M8)</f>
        <v/>
      </c>
    </row>
    <row r="9">
      <c r="A9" s="6" t="inlineStr">
        <is>
          <t>Insurance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13">
        <f>SUM(B9:M9)</f>
        <v/>
      </c>
      <c r="O9" s="13">
        <f>AVERAGE(B9:M9)</f>
        <v/>
      </c>
    </row>
    <row r="10">
      <c r="A10" s="6" t="inlineStr">
        <is>
          <t>Car Payment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13">
        <f>SUM(B10:M10)</f>
        <v/>
      </c>
      <c r="O10" s="13">
        <f>AVERAGE(B10:M10)</f>
        <v/>
      </c>
    </row>
    <row r="11">
      <c r="A11" s="6" t="inlineStr">
        <is>
          <t>Debt Payments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13">
        <f>SUM(B11:M11)</f>
        <v/>
      </c>
      <c r="O11" s="13">
        <f>AVERAGE(B11:M11)</f>
        <v/>
      </c>
    </row>
    <row r="12">
      <c r="A12" s="6" t="inlineStr">
        <is>
          <t>Groceries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13">
        <f>SUM(B12:M12)</f>
        <v/>
      </c>
      <c r="O12" s="13">
        <f>AVERAGE(B12:M12)</f>
        <v/>
      </c>
    </row>
    <row r="13">
      <c r="A13" s="6" t="inlineStr">
        <is>
          <t>Gas / Transit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13">
        <f>SUM(B13:M13)</f>
        <v/>
      </c>
      <c r="O13" s="13">
        <f>AVERAGE(B13:M13)</f>
        <v/>
      </c>
    </row>
    <row r="14">
      <c r="A14" s="6" t="inlineStr">
        <is>
          <t>Dining Out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13">
        <f>SUM(B14:M14)</f>
        <v/>
      </c>
      <c r="O14" s="13">
        <f>AVERAGE(B14:M14)</f>
        <v/>
      </c>
    </row>
    <row r="15">
      <c r="A15" s="6" t="inlineStr">
        <is>
          <t>Entertainment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13">
        <f>SUM(B15:M15)</f>
        <v/>
      </c>
      <c r="O15" s="13">
        <f>AVERAGE(B15:M15)</f>
        <v/>
      </c>
    </row>
    <row r="16">
      <c r="A16" s="6" t="inlineStr">
        <is>
          <t>Subscriptions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13">
        <f>SUM(B16:M16)</f>
        <v/>
      </c>
      <c r="O16" s="13">
        <f>AVERAGE(B16:M16)</f>
        <v/>
      </c>
    </row>
    <row r="17">
      <c r="A17" s="6" t="inlineStr">
        <is>
          <t>Health &amp; Fitness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13">
        <f>SUM(B17:M17)</f>
        <v/>
      </c>
      <c r="O17" s="13">
        <f>AVERAGE(B17:M17)</f>
        <v/>
      </c>
    </row>
    <row r="18">
      <c r="A18" s="6" t="inlineStr">
        <is>
          <t>Personal Care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13">
        <f>SUM(B18:M18)</f>
        <v/>
      </c>
      <c r="O18" s="13">
        <f>AVERAGE(B18:M18)</f>
        <v/>
      </c>
    </row>
    <row r="19">
      <c r="A19" s="6" t="inlineStr">
        <is>
          <t>Shopping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13">
        <f>SUM(B19:M19)</f>
        <v/>
      </c>
      <c r="O19" s="13">
        <f>AVERAGE(B19:M19)</f>
        <v/>
      </c>
    </row>
    <row r="20">
      <c r="A20" s="6" t="inlineStr">
        <is>
          <t>Miscellaneous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13">
        <f>SUM(B20:M20)</f>
        <v/>
      </c>
      <c r="O20" s="13">
        <f>AVERAGE(B20:M20)</f>
        <v/>
      </c>
    </row>
    <row r="21">
      <c r="A21" s="8" t="inlineStr">
        <is>
          <t>Total Expenses</t>
        </is>
      </c>
      <c r="B21" s="9">
        <f>SUM(B6:B20)</f>
        <v/>
      </c>
      <c r="C21" s="9">
        <f>SUM(C6:C20)</f>
        <v/>
      </c>
      <c r="D21" s="9">
        <f>SUM(D6:D20)</f>
        <v/>
      </c>
      <c r="E21" s="9">
        <f>SUM(E6:E20)</f>
        <v/>
      </c>
      <c r="F21" s="9">
        <f>SUM(F6:F20)</f>
        <v/>
      </c>
      <c r="G21" s="9">
        <f>SUM(G6:G20)</f>
        <v/>
      </c>
      <c r="H21" s="9">
        <f>SUM(H6:H20)</f>
        <v/>
      </c>
      <c r="I21" s="9">
        <f>SUM(I6:I20)</f>
        <v/>
      </c>
      <c r="J21" s="9">
        <f>SUM(J6:J20)</f>
        <v/>
      </c>
      <c r="K21" s="9">
        <f>SUM(K6:K20)</f>
        <v/>
      </c>
      <c r="L21" s="9">
        <f>SUM(L6:L20)</f>
        <v/>
      </c>
      <c r="M21" s="9">
        <f>SUM(M6:M20)</f>
        <v/>
      </c>
      <c r="N21" s="9">
        <f>SUM(B21:M21)</f>
        <v/>
      </c>
      <c r="O21" s="9">
        <f>AVERAGE(B21:M21)</f>
        <v/>
      </c>
    </row>
    <row r="22">
      <c r="A22" s="8" t="inlineStr">
        <is>
          <t>Savings</t>
        </is>
      </c>
      <c r="B22" s="9">
        <f>B5-B21</f>
        <v/>
      </c>
      <c r="C22" s="9">
        <f>C5-C21</f>
        <v/>
      </c>
      <c r="D22" s="9">
        <f>D5-D21</f>
        <v/>
      </c>
      <c r="E22" s="9">
        <f>E5-E21</f>
        <v/>
      </c>
      <c r="F22" s="9">
        <f>F5-F21</f>
        <v/>
      </c>
      <c r="G22" s="9">
        <f>G5-G21</f>
        <v/>
      </c>
      <c r="H22" s="9">
        <f>H5-H21</f>
        <v/>
      </c>
      <c r="I22" s="9">
        <f>I5-I21</f>
        <v/>
      </c>
      <c r="J22" s="9">
        <f>J5-J21</f>
        <v/>
      </c>
      <c r="K22" s="9">
        <f>K5-K21</f>
        <v/>
      </c>
      <c r="L22" s="9">
        <f>L5-L21</f>
        <v/>
      </c>
      <c r="M22" s="9">
        <f>M5-M21</f>
        <v/>
      </c>
      <c r="N22" s="9">
        <f>SUM(B22:M22)</f>
        <v/>
      </c>
      <c r="O22" s="9">
        <f>AVERAGE(B22:M22)</f>
        <v/>
      </c>
    </row>
    <row r="23">
      <c r="A23" s="8" t="inlineStr">
        <is>
          <t>Savings Rate</t>
        </is>
      </c>
      <c r="B23" s="12">
        <f>IF(B5=0,0,B22/B5)</f>
        <v/>
      </c>
      <c r="C23" s="12">
        <f>IF(C5=0,0,C22/C5)</f>
        <v/>
      </c>
      <c r="D23" s="12">
        <f>IF(D5=0,0,D22/D5)</f>
        <v/>
      </c>
      <c r="E23" s="12">
        <f>IF(E5=0,0,E22/E5)</f>
        <v/>
      </c>
      <c r="F23" s="12">
        <f>IF(F5=0,0,F22/F5)</f>
        <v/>
      </c>
      <c r="G23" s="12">
        <f>IF(G5=0,0,G22/G5)</f>
        <v/>
      </c>
      <c r="H23" s="12">
        <f>IF(H5=0,0,H22/H5)</f>
        <v/>
      </c>
      <c r="I23" s="12">
        <f>IF(I5=0,0,I22/I5)</f>
        <v/>
      </c>
      <c r="J23" s="12">
        <f>IF(J5=0,0,J22/J5)</f>
        <v/>
      </c>
      <c r="K23" s="12">
        <f>IF(K5=0,0,K22/K5)</f>
        <v/>
      </c>
      <c r="L23" s="12">
        <f>IF(L5=0,0,L22/L5)</f>
        <v/>
      </c>
      <c r="M23" s="12">
        <f>IF(M5=0,0,M22/M5)</f>
        <v/>
      </c>
      <c r="N23" s="12">
        <f>IF(N5=0,0,N22/N5)</f>
        <v/>
      </c>
      <c r="O23" s="12">
        <f>N23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 ($)</t>
        </is>
      </c>
      <c r="D1" s="5" t="inlineStr">
        <is>
          <t>Category</t>
        </is>
      </c>
      <c r="E1" s="5" t="inlineStr">
        <is>
          <t>Month</t>
        </is>
      </c>
    </row>
    <row r="2">
      <c r="A2" s="15" t="n">
        <v>46093</v>
      </c>
      <c r="B2" s="16" t="inlineStr">
        <is>
          <t>AplPay BRIDGELAND: ACypress TX</t>
        </is>
      </c>
      <c r="C2" s="17" t="n">
        <v>25</v>
      </c>
      <c r="D2" s="16" t="inlineStr">
        <is>
          <t>Miscellaneous</t>
        </is>
      </c>
      <c r="E2" s="16" t="inlineStr">
        <is>
          <t>Mar 2026</t>
        </is>
      </c>
    </row>
    <row r="3">
      <c r="A3" s="15" t="n">
        <v>46093</v>
      </c>
      <c r="B3" s="16" t="inlineStr">
        <is>
          <t>AplPay FIRST WATCH #CYPRESS TX</t>
        </is>
      </c>
      <c r="C3" s="17" t="n">
        <v>42.39</v>
      </c>
      <c r="D3" s="16" t="inlineStr">
        <is>
          <t>Dining Out</t>
        </is>
      </c>
      <c r="E3" s="16" t="inlineStr">
        <is>
          <t>Mar 2026</t>
        </is>
      </c>
    </row>
    <row r="4">
      <c r="A4" s="15" t="n">
        <v>46093</v>
      </c>
      <c r="B4" s="16" t="inlineStr">
        <is>
          <t>DIL SE INDIAN FOOD TCypress TX</t>
        </is>
      </c>
      <c r="C4" s="17" t="n">
        <v>12.98</v>
      </c>
      <c r="D4" s="16" t="inlineStr">
        <is>
          <t>Dining Out</t>
        </is>
      </c>
      <c r="E4" s="16" t="inlineStr">
        <is>
          <t>Mar 2026</t>
        </is>
      </c>
    </row>
    <row r="5">
      <c r="A5" s="15" t="n">
        <v>46094</v>
      </c>
      <c r="B5" s="16" t="inlineStr">
        <is>
          <t>AMAZON MARKEPLACE NA PA</t>
        </is>
      </c>
      <c r="C5" s="17" t="n">
        <v>30.56</v>
      </c>
      <c r="D5" s="16" t="inlineStr">
        <is>
          <t>Shopping</t>
        </is>
      </c>
      <c r="E5" s="16" t="inlineStr">
        <is>
          <t>Mar 2026</t>
        </is>
      </c>
    </row>
    <row r="6">
      <c r="A6" s="15" t="n">
        <v>46094</v>
      </c>
      <c r="B6" s="16" t="inlineStr">
        <is>
          <t>AMERICAN EAGLE OUTFIPITTSBURGH PA</t>
        </is>
      </c>
      <c r="C6" s="17" t="n">
        <v>117.3</v>
      </c>
      <c r="D6" s="16" t="inlineStr">
        <is>
          <t>Shopping</t>
        </is>
      </c>
      <c r="E6" s="16" t="inlineStr">
        <is>
          <t>Mar 2026</t>
        </is>
      </c>
    </row>
    <row r="7">
      <c r="A7" s="15" t="n">
        <v>46094</v>
      </c>
      <c r="B7" s="16" t="inlineStr">
        <is>
          <t>EXXONMOBIL CYPRESS TX</t>
        </is>
      </c>
      <c r="C7" s="17" t="n">
        <v>43.91</v>
      </c>
      <c r="D7" s="16" t="inlineStr">
        <is>
          <t>Gas / Transit</t>
        </is>
      </c>
      <c r="E7" s="16" t="inlineStr">
        <is>
          <t>Mar 2026</t>
        </is>
      </c>
    </row>
    <row r="8">
      <c r="A8" s="15" t="n">
        <v>46094</v>
      </c>
      <c r="B8" s="16" t="inlineStr">
        <is>
          <t>MOBILE PAYMENT - THANK YOU</t>
        </is>
      </c>
      <c r="C8" s="17" t="n">
        <v>-2062.28</v>
      </c>
      <c r="D8" s="16" t="inlineStr">
        <is>
          <t>Payments &amp; Adjustments</t>
        </is>
      </c>
      <c r="E8" s="16" t="inlineStr">
        <is>
          <t>Mar 2026</t>
        </is>
      </c>
    </row>
    <row r="9">
      <c r="A9" s="15" t="n">
        <v>46094</v>
      </c>
      <c r="B9" s="16" t="inlineStr">
        <is>
          <t>PACSUN #0680 0680 HOUSTON TX</t>
        </is>
      </c>
      <c r="C9" s="17" t="n">
        <v>127.19</v>
      </c>
      <c r="D9" s="16" t="inlineStr">
        <is>
          <t>Shopping</t>
        </is>
      </c>
      <c r="E9" s="16" t="inlineStr">
        <is>
          <t>Mar 2026</t>
        </is>
      </c>
    </row>
    <row r="10">
      <c r="A10" s="15" t="n">
        <v>46094</v>
      </c>
      <c r="B10" s="16" t="inlineStr">
        <is>
          <t>STARBUCKS STORE 7147CYPRESS TX</t>
        </is>
      </c>
      <c r="C10" s="17" t="n">
        <v>9.960000000000001</v>
      </c>
      <c r="D10" s="16" t="inlineStr">
        <is>
          <t>Dining Out</t>
        </is>
      </c>
      <c r="E10" s="16" t="inlineStr">
        <is>
          <t>Mar 2026</t>
        </is>
      </c>
    </row>
    <row r="11">
      <c r="A11" s="15" t="n">
        <v>46094</v>
      </c>
      <c r="B11" s="16" t="inlineStr">
        <is>
          <t>TST* NAGAS SOUTH INDHOUSTON TX</t>
        </is>
      </c>
      <c r="C11" s="17" t="n">
        <v>51.93</v>
      </c>
      <c r="D11" s="16" t="inlineStr">
        <is>
          <t>Dining Out</t>
        </is>
      </c>
      <c r="E11" s="16" t="inlineStr">
        <is>
          <t>Mar 2026</t>
        </is>
      </c>
    </row>
    <row r="12">
      <c r="A12" s="15" t="n">
        <v>46094</v>
      </c>
      <c r="B12" s="16" t="inlineStr">
        <is>
          <t>ZARA USA 1223 1223 HOUSTON TX</t>
        </is>
      </c>
      <c r="C12" s="17" t="n">
        <v>129.57</v>
      </c>
      <c r="D12" s="16" t="inlineStr">
        <is>
          <t>Shopping</t>
        </is>
      </c>
      <c r="E12" s="16" t="inlineStr">
        <is>
          <t>Mar 2026</t>
        </is>
      </c>
    </row>
    <row r="13">
      <c r="A13" s="15" t="n">
        <v>46095</v>
      </c>
      <c r="B13" s="16" t="inlineStr">
        <is>
          <t>AMAZON MARKEPLACE NA PA</t>
        </is>
      </c>
      <c r="C13" s="17" t="n">
        <v>8.09</v>
      </c>
      <c r="D13" s="16" t="inlineStr">
        <is>
          <t>Shopping</t>
        </is>
      </c>
      <c r="E13" s="16" t="inlineStr">
        <is>
          <t>Mar 2026</t>
        </is>
      </c>
    </row>
    <row r="14">
      <c r="A14" s="15" t="n">
        <v>46095</v>
      </c>
      <c r="B14" s="16" t="inlineStr">
        <is>
          <t>AMAZON.COM AMZN.COM/BILL WA</t>
        </is>
      </c>
      <c r="C14" s="17" t="n">
        <v>120.3</v>
      </c>
      <c r="D14" s="16" t="inlineStr">
        <is>
          <t>Shopping</t>
        </is>
      </c>
      <c r="E14" s="16" t="inlineStr">
        <is>
          <t>Mar 2026</t>
        </is>
      </c>
    </row>
    <row r="15">
      <c r="A15" s="15" t="n">
        <v>46095</v>
      </c>
      <c r="B15" s="16" t="inlineStr">
        <is>
          <t>DD/BR #352196 352196HOUSTON TX</t>
        </is>
      </c>
      <c r="C15" s="17" t="n">
        <v>8.1</v>
      </c>
      <c r="D15" s="16" t="inlineStr">
        <is>
          <t>Dining Out</t>
        </is>
      </c>
      <c r="E15" s="16" t="inlineStr">
        <is>
          <t>Mar 2026</t>
        </is>
      </c>
    </row>
    <row r="16">
      <c r="A16" s="15" t="n">
        <v>46095</v>
      </c>
      <c r="B16" s="16" t="inlineStr">
        <is>
          <t>HCTRA EZ TAG REBILL HOUSTON TX</t>
        </is>
      </c>
      <c r="C16" s="17" t="n">
        <v>40</v>
      </c>
      <c r="D16" s="16" t="inlineStr">
        <is>
          <t>Gas / Transit</t>
        </is>
      </c>
      <c r="E16" s="16" t="inlineStr">
        <is>
          <t>Mar 2026</t>
        </is>
      </c>
    </row>
    <row r="17">
      <c r="A17" s="15" t="n">
        <v>46095</v>
      </c>
      <c r="B17" s="16" t="inlineStr">
        <is>
          <t>METROPOLIS PARKING NASHVILLE TN</t>
        </is>
      </c>
      <c r="C17" s="17" t="n">
        <v>10.99</v>
      </c>
      <c r="D17" s="16" t="inlineStr">
        <is>
          <t>Travel</t>
        </is>
      </c>
      <c r="E17" s="16" t="inlineStr">
        <is>
          <t>Mar 2026</t>
        </is>
      </c>
    </row>
    <row r="18">
      <c r="A18" s="15" t="n">
        <v>46095</v>
      </c>
      <c r="B18" s="16" t="inlineStr">
        <is>
          <t>MOD PIZZA TOWNE LAKECYPRESS TX</t>
        </is>
      </c>
      <c r="C18" s="17" t="n">
        <v>27.58</v>
      </c>
      <c r="D18" s="16" t="inlineStr">
        <is>
          <t>Dining Out</t>
        </is>
      </c>
      <c r="E18" s="16" t="inlineStr">
        <is>
          <t>Mar 2026</t>
        </is>
      </c>
    </row>
    <row r="19">
      <c r="A19" s="15" t="n">
        <v>46095</v>
      </c>
      <c r="B19" s="16" t="inlineStr">
        <is>
          <t>SPACE CENTER HOUSTONHOUSTON TX</t>
        </is>
      </c>
      <c r="C19" s="17" t="n">
        <v>124.85</v>
      </c>
      <c r="D19" s="16" t="inlineStr">
        <is>
          <t>Entertainment</t>
        </is>
      </c>
      <c r="E19" s="16" t="inlineStr">
        <is>
          <t>Mar 2026</t>
        </is>
      </c>
    </row>
    <row r="20">
      <c r="A20" s="15" t="n">
        <v>46095</v>
      </c>
      <c r="B20" s="16" t="inlineStr">
        <is>
          <t>SPACECNTRHOUSTONCAFEHOUSTON TX</t>
        </is>
      </c>
      <c r="C20" s="17" t="n">
        <v>12.99</v>
      </c>
      <c r="D20" s="16" t="inlineStr">
        <is>
          <t>Entertainment</t>
        </is>
      </c>
      <c r="E20" s="16" t="inlineStr">
        <is>
          <t>Mar 2026</t>
        </is>
      </c>
    </row>
    <row r="21">
      <c r="A21" s="15" t="n">
        <v>46095</v>
      </c>
      <c r="B21" s="16" t="inlineStr">
        <is>
          <t>TST* HASHTAG INDIA -CYPRESS TX</t>
        </is>
      </c>
      <c r="C21" s="17" t="n">
        <v>39.46</v>
      </c>
      <c r="D21" s="16" t="inlineStr">
        <is>
          <t>Dining Out</t>
        </is>
      </c>
      <c r="E21" s="16" t="inlineStr">
        <is>
          <t>Mar 2026</t>
        </is>
      </c>
    </row>
    <row r="22">
      <c r="A22" s="15" t="n">
        <v>46096</v>
      </c>
      <c r="B22" s="16" t="inlineStr">
        <is>
          <t>AT&amp;T UVERSE PAYMENT 8002882020 TX</t>
        </is>
      </c>
      <c r="C22" s="17" t="n">
        <v>201.78</v>
      </c>
      <c r="D22" s="16" t="inlineStr">
        <is>
          <t>Internet &amp; Phone</t>
        </is>
      </c>
      <c r="E22" s="16" t="inlineStr">
        <is>
          <t>Mar 2026</t>
        </is>
      </c>
    </row>
    <row r="23">
      <c r="A23" s="15" t="n">
        <v>46096</v>
      </c>
      <c r="B23" s="16" t="inlineStr">
        <is>
          <t>H-E-B #709 000000000CYPRESS TX</t>
        </is>
      </c>
      <c r="C23" s="17" t="n">
        <v>57.16</v>
      </c>
      <c r="D23" s="16" t="inlineStr">
        <is>
          <t>Groceries</t>
        </is>
      </c>
      <c r="E23" s="16" t="inlineStr">
        <is>
          <t>Mar 2026</t>
        </is>
      </c>
    </row>
    <row r="24">
      <c r="A24" s="15" t="n">
        <v>46097</v>
      </c>
      <c r="B24" s="16" t="inlineStr">
        <is>
          <t>AT&amp;T UVERSE PAYMENT 8002882020 TX</t>
        </is>
      </c>
      <c r="C24" s="17" t="n">
        <v>100.83</v>
      </c>
      <c r="D24" s="16" t="inlineStr">
        <is>
          <t>Internet &amp; Phone</t>
        </is>
      </c>
      <c r="E24" s="16" t="inlineStr">
        <is>
          <t>Mar 2026</t>
        </is>
      </c>
    </row>
    <row r="25">
      <c r="A25" s="15" t="n">
        <v>46097</v>
      </c>
      <c r="B25" s="16" t="inlineStr">
        <is>
          <t>ONLINE PAYMENT - THANK YOU</t>
        </is>
      </c>
      <c r="C25" s="17" t="n">
        <v>-820.3200000000001</v>
      </c>
      <c r="D25" s="16" t="inlineStr">
        <is>
          <t>Payments &amp; Adjustments</t>
        </is>
      </c>
      <c r="E25" s="16" t="inlineStr">
        <is>
          <t>Mar 2026</t>
        </is>
      </c>
    </row>
    <row r="26">
      <c r="A26" s="15" t="n">
        <v>46098</v>
      </c>
      <c r="B26" s="16" t="inlineStr">
        <is>
          <t>054 TORCHYS OLO CYPRCYPRESS TX</t>
        </is>
      </c>
      <c r="C26" s="17" t="n">
        <v>31.97</v>
      </c>
      <c r="D26" s="16" t="inlineStr">
        <is>
          <t>Dining Out</t>
        </is>
      </c>
      <c r="E26" s="16" t="inlineStr">
        <is>
          <t>Mar 2026</t>
        </is>
      </c>
    </row>
    <row r="27">
      <c r="A27" s="15" t="n">
        <v>46098</v>
      </c>
      <c r="B27" s="16" t="inlineStr">
        <is>
          <t>AMAZON PAY WITH POINTS CREDIT</t>
        </is>
      </c>
      <c r="C27" s="17" t="n">
        <v>-80.38</v>
      </c>
      <c r="D27" s="16" t="inlineStr">
        <is>
          <t>Shopping</t>
        </is>
      </c>
      <c r="E27" s="16" t="inlineStr">
        <is>
          <t>Mar 2026</t>
        </is>
      </c>
    </row>
    <row r="28">
      <c r="A28" s="15" t="n">
        <v>46098</v>
      </c>
      <c r="B28" s="16" t="inlineStr">
        <is>
          <t>AMAZON.COM AMZN.COM/BILL WA</t>
        </is>
      </c>
      <c r="C28" s="17" t="n">
        <v>80.38</v>
      </c>
      <c r="D28" s="16" t="inlineStr">
        <is>
          <t>Shopping</t>
        </is>
      </c>
      <c r="E28" s="16" t="inlineStr">
        <is>
          <t>Mar 2026</t>
        </is>
      </c>
    </row>
    <row r="29">
      <c r="A29" s="15" t="n">
        <v>46098</v>
      </c>
      <c r="B29" s="16" t="inlineStr">
        <is>
          <t>H-E-B #709 000000000CYPRESS TX</t>
        </is>
      </c>
      <c r="C29" s="17" t="n">
        <v>59.96</v>
      </c>
      <c r="D29" s="16" t="inlineStr">
        <is>
          <t>Groceries</t>
        </is>
      </c>
      <c r="E29" s="16" t="inlineStr">
        <is>
          <t>Mar 2026</t>
        </is>
      </c>
    </row>
    <row r="30">
      <c r="A30" s="15" t="n">
        <v>46098</v>
      </c>
      <c r="B30" s="16" t="inlineStr">
        <is>
          <t>STARBUCKS STORE 7147CYPRESS TX</t>
        </is>
      </c>
      <c r="C30" s="17" t="n">
        <v>4.28</v>
      </c>
      <c r="D30" s="16" t="inlineStr">
        <is>
          <t>Dining Out</t>
        </is>
      </c>
      <c r="E30" s="16" t="inlineStr">
        <is>
          <t>Mar 2026</t>
        </is>
      </c>
    </row>
    <row r="31">
      <c r="A31" s="15" t="n">
        <v>46099</v>
      </c>
      <c r="B31" s="16" t="inlineStr">
        <is>
          <t>AMAZON MARKEPLACE NA PA</t>
        </is>
      </c>
      <c r="C31" s="17" t="n">
        <v>20.56</v>
      </c>
      <c r="D31" s="16" t="inlineStr">
        <is>
          <t>Shopping</t>
        </is>
      </c>
      <c r="E31" s="16" t="inlineStr">
        <is>
          <t>Mar 2026</t>
        </is>
      </c>
    </row>
    <row r="32">
      <c r="A32" s="15" t="n">
        <v>46099</v>
      </c>
      <c r="B32" s="16" t="inlineStr">
        <is>
          <t>AMAZON MARKEPLACE NA PA</t>
        </is>
      </c>
      <c r="C32" s="17" t="n">
        <v>21.64</v>
      </c>
      <c r="D32" s="16" t="inlineStr">
        <is>
          <t>Shopping</t>
        </is>
      </c>
      <c r="E32" s="16" t="inlineStr">
        <is>
          <t>Mar 2026</t>
        </is>
      </c>
    </row>
    <row r="33">
      <c r="A33" s="15" t="n">
        <v>46099</v>
      </c>
      <c r="B33" s="16" t="inlineStr">
        <is>
          <t>AMAZON.COM AMZN.COM/BILL WA</t>
        </is>
      </c>
      <c r="C33" s="17" t="n">
        <v>7.62</v>
      </c>
      <c r="D33" s="16" t="inlineStr">
        <is>
          <t>Shopping</t>
        </is>
      </c>
      <c r="E33" s="16" t="inlineStr">
        <is>
          <t>Mar 2026</t>
        </is>
      </c>
    </row>
    <row r="34">
      <c r="A34" s="15" t="n">
        <v>46099</v>
      </c>
      <c r="B34" s="16" t="inlineStr">
        <is>
          <t>AMAZON.COM AMZN.COM/BILL WA</t>
        </is>
      </c>
      <c r="C34" s="17" t="n">
        <v>48.7</v>
      </c>
      <c r="D34" s="16" t="inlineStr">
        <is>
          <t>Shopping</t>
        </is>
      </c>
      <c r="E34" s="16" t="inlineStr">
        <is>
          <t>Mar 2026</t>
        </is>
      </c>
    </row>
    <row r="35">
      <c r="A35" s="15" t="n">
        <v>46099</v>
      </c>
      <c r="B35" s="16" t="inlineStr">
        <is>
          <t>AplPay CHICK-FIL-A #CYPRESS TX</t>
        </is>
      </c>
      <c r="C35" s="17" t="n">
        <v>10.38</v>
      </c>
      <c r="D35" s="16" t="inlineStr">
        <is>
          <t>Dining Out</t>
        </is>
      </c>
      <c r="E35" s="16" t="inlineStr">
        <is>
          <t>Mar 2026</t>
        </is>
      </c>
    </row>
    <row r="36">
      <c r="A36" s="15" t="n">
        <v>46099</v>
      </c>
      <c r="B36" s="16" t="inlineStr">
        <is>
          <t>GOOGLE *YOUTUBEPREMI G.CO/HELPPAY# CA</t>
        </is>
      </c>
      <c r="C36" s="17" t="n">
        <v>15.14</v>
      </c>
      <c r="D36" s="16" t="inlineStr">
        <is>
          <t>Subscriptions</t>
        </is>
      </c>
      <c r="E36" s="16" t="inlineStr">
        <is>
          <t>Mar 2026</t>
        </is>
      </c>
    </row>
    <row r="37">
      <c r="A37" s="15" t="n">
        <v>46099</v>
      </c>
      <c r="B37" s="16" t="inlineStr">
        <is>
          <t>Platinum Digital Entertainment Credit</t>
        </is>
      </c>
      <c r="C37" s="17" t="n">
        <v>-15.14</v>
      </c>
      <c r="D37" s="16" t="inlineStr">
        <is>
          <t>Subscriptions</t>
        </is>
      </c>
      <c r="E37" s="16" t="inlineStr">
        <is>
          <t>Mar 2026</t>
        </is>
      </c>
    </row>
    <row r="38">
      <c r="A38" s="15" t="n">
        <v>46100</v>
      </c>
      <c r="B38" s="16" t="inlineStr">
        <is>
          <t>AMAZON MARKEPLACE NA PA</t>
        </is>
      </c>
      <c r="C38" s="17" t="n">
        <v>8.65</v>
      </c>
      <c r="D38" s="16" t="inlineStr">
        <is>
          <t>Shopping</t>
        </is>
      </c>
      <c r="E38" s="16" t="inlineStr">
        <is>
          <t>Mar 2026</t>
        </is>
      </c>
    </row>
    <row r="39">
      <c r="A39" s="15" t="n">
        <v>46100</v>
      </c>
      <c r="B39" s="16" t="inlineStr">
        <is>
          <t>AplPay FANDANGO.COM 866-857-5191 CA</t>
        </is>
      </c>
      <c r="C39" s="17" t="n">
        <v>40</v>
      </c>
      <c r="D39" s="16" t="inlineStr">
        <is>
          <t>Entertainment</t>
        </is>
      </c>
      <c r="E39" s="16" t="inlineStr">
        <is>
          <t>Mar 2026</t>
        </is>
      </c>
    </row>
    <row r="40">
      <c r="A40" s="15" t="n">
        <v>46100</v>
      </c>
      <c r="B40" s="16" t="inlineStr">
        <is>
          <t>TRIVENI FOOD COURT 2KATY TX</t>
        </is>
      </c>
      <c r="C40" s="17" t="n">
        <v>22.71</v>
      </c>
      <c r="D40" s="16" t="inlineStr">
        <is>
          <t>Dining Out</t>
        </is>
      </c>
      <c r="E40" s="16" t="inlineStr">
        <is>
          <t>Mar 2026</t>
        </is>
      </c>
    </row>
    <row r="41">
      <c r="A41" s="15" t="n">
        <v>46101</v>
      </c>
      <c r="B41" s="16" t="inlineStr">
        <is>
          <t>AplPay CHIPOTLE MEX NEWPORT BEACH CA</t>
        </is>
      </c>
      <c r="C41" s="17" t="n">
        <v>22.14</v>
      </c>
      <c r="D41" s="16" t="inlineStr">
        <is>
          <t>Dining Out</t>
        </is>
      </c>
      <c r="E41" s="16" t="inlineStr">
        <is>
          <t>Mar 2026</t>
        </is>
      </c>
    </row>
    <row r="42">
      <c r="A42" s="15" t="n">
        <v>46101</v>
      </c>
      <c r="B42" s="16" t="inlineStr">
        <is>
          <t>CINEMARK PLANO TX</t>
        </is>
      </c>
      <c r="C42" s="17" t="n">
        <v>25.17</v>
      </c>
      <c r="D42" s="16" t="inlineStr">
        <is>
          <t>Entertainment</t>
        </is>
      </c>
      <c r="E42" s="16" t="inlineStr">
        <is>
          <t>Mar 2026</t>
        </is>
      </c>
    </row>
    <row r="43">
      <c r="A43" s="15" t="n">
        <v>46101</v>
      </c>
      <c r="B43" s="16" t="inlineStr">
        <is>
          <t>STARBUCKS STORE 7147CYPRESS TX</t>
        </is>
      </c>
      <c r="C43" s="17" t="n">
        <v>5.36</v>
      </c>
      <c r="D43" s="16" t="inlineStr">
        <is>
          <t>Dining Out</t>
        </is>
      </c>
      <c r="E43" s="16" t="inlineStr">
        <is>
          <t>Mar 2026</t>
        </is>
      </c>
    </row>
    <row r="44">
      <c r="A44" s="15" t="n">
        <v>46102</v>
      </c>
      <c r="B44" s="16" t="inlineStr">
        <is>
          <t>AplPay TST* HASHTAG CYPRESS TX</t>
        </is>
      </c>
      <c r="C44" s="17" t="n">
        <v>10.8</v>
      </c>
      <c r="D44" s="16" t="inlineStr">
        <is>
          <t>Dining Out</t>
        </is>
      </c>
      <c r="E44" s="16" t="inlineStr">
        <is>
          <t>Mar 2026</t>
        </is>
      </c>
    </row>
    <row r="45">
      <c r="A45" s="15" t="n">
        <v>46102</v>
      </c>
      <c r="B45" s="16" t="inlineStr">
        <is>
          <t>TRIVENI SUPERMARKET KATY TX</t>
        </is>
      </c>
      <c r="C45" s="17" t="n">
        <v>14</v>
      </c>
      <c r="D45" s="16" t="inlineStr">
        <is>
          <t>Groceries</t>
        </is>
      </c>
      <c r="E45" s="16" t="inlineStr">
        <is>
          <t>Mar 2026</t>
        </is>
      </c>
    </row>
    <row r="46">
      <c r="A46" s="15" t="n">
        <v>46102</v>
      </c>
      <c r="B46" s="16" t="inlineStr">
        <is>
          <t>TRIVENI SUPERMARKET KATY TX</t>
        </is>
      </c>
      <c r="C46" s="17" t="n">
        <v>35.45</v>
      </c>
      <c r="D46" s="16" t="inlineStr">
        <is>
          <t>Groceries</t>
        </is>
      </c>
      <c r="E46" s="16" t="inlineStr">
        <is>
          <t>Mar 2026</t>
        </is>
      </c>
    </row>
    <row r="47">
      <c r="A47" s="15" t="n">
        <v>46103</v>
      </c>
      <c r="B47" s="16" t="inlineStr">
        <is>
          <t>AplPay CHIPOTLE MEX NEWPORT BEACH CA</t>
        </is>
      </c>
      <c r="C47" s="17" t="n">
        <v>11.1</v>
      </c>
      <c r="D47" s="16" t="inlineStr">
        <is>
          <t>Dining Out</t>
        </is>
      </c>
      <c r="E47" s="16" t="inlineStr">
        <is>
          <t>Mar 2026</t>
        </is>
      </c>
    </row>
    <row r="48">
      <c r="A48" s="15" t="n">
        <v>46105</v>
      </c>
      <c r="B48" s="16" t="inlineStr">
        <is>
          <t>AplPay UBER ONE MEMBHTTPS://HELP.UBER.CONL</t>
        </is>
      </c>
      <c r="C48" s="17" t="n">
        <v>6.97</v>
      </c>
      <c r="D48" s="16" t="inlineStr">
        <is>
          <t>Subscriptions</t>
        </is>
      </c>
      <c r="E48" s="16" t="inlineStr">
        <is>
          <t>Mar 2026</t>
        </is>
      </c>
    </row>
    <row r="49">
      <c r="A49" s="15" t="n">
        <v>46105</v>
      </c>
      <c r="B49" s="16" t="inlineStr">
        <is>
          <t>CONSULAR OUTSOURCINGNEW YORK NY</t>
        </is>
      </c>
      <c r="C49" s="17" t="n">
        <v>47</v>
      </c>
      <c r="D49" s="16" t="inlineStr">
        <is>
          <t>Miscellaneous</t>
        </is>
      </c>
      <c r="E49" s="16" t="inlineStr">
        <is>
          <t>Mar 2026</t>
        </is>
      </c>
    </row>
    <row r="50">
      <c r="A50" s="15" t="n">
        <v>46105</v>
      </c>
      <c r="B50" s="16" t="inlineStr">
        <is>
          <t>CONSULAR OUTSOURCINGNEW YORK NY</t>
        </is>
      </c>
      <c r="C50" s="17" t="n">
        <v>47</v>
      </c>
      <c r="D50" s="16" t="inlineStr">
        <is>
          <t>Miscellaneous</t>
        </is>
      </c>
      <c r="E50" s="16" t="inlineStr">
        <is>
          <t>Mar 2026</t>
        </is>
      </c>
    </row>
    <row r="51">
      <c r="A51" s="15" t="n">
        <v>46105</v>
      </c>
      <c r="B51" s="16" t="inlineStr">
        <is>
          <t>LABCORP8008456167 800-845-6167 NC</t>
        </is>
      </c>
      <c r="C51" s="17" t="n">
        <v>20.68</v>
      </c>
      <c r="D51" s="16" t="inlineStr">
        <is>
          <t>Health &amp; Fitness</t>
        </is>
      </c>
      <c r="E51" s="16" t="inlineStr">
        <is>
          <t>Mar 2026</t>
        </is>
      </c>
    </row>
    <row r="52">
      <c r="A52" s="15" t="n">
        <v>46106</v>
      </c>
      <c r="B52" s="16" t="inlineStr">
        <is>
          <t>AMAZON MARKEPLACE NA PA</t>
        </is>
      </c>
      <c r="C52" s="17" t="n">
        <v>9.19</v>
      </c>
      <c r="D52" s="16" t="inlineStr">
        <is>
          <t>Shopping</t>
        </is>
      </c>
      <c r="E52" s="16" t="inlineStr">
        <is>
          <t>Mar 2026</t>
        </is>
      </c>
    </row>
    <row r="53">
      <c r="A53" s="15" t="n">
        <v>46106</v>
      </c>
      <c r="B53" s="16" t="inlineStr">
        <is>
          <t>AMAZON MARKEPLACE NA PA</t>
        </is>
      </c>
      <c r="C53" s="17" t="n">
        <v>9.300000000000001</v>
      </c>
      <c r="D53" s="16" t="inlineStr">
        <is>
          <t>Shopping</t>
        </is>
      </c>
      <c r="E53" s="16" t="inlineStr">
        <is>
          <t>Mar 2026</t>
        </is>
      </c>
    </row>
    <row r="54">
      <c r="A54" s="15" t="n">
        <v>46106</v>
      </c>
      <c r="B54" s="16" t="inlineStr">
        <is>
          <t>AMAZON MARKEPLACE NA PA</t>
        </is>
      </c>
      <c r="C54" s="17" t="n">
        <v>111.5</v>
      </c>
      <c r="D54" s="16" t="inlineStr">
        <is>
          <t>Shopping</t>
        </is>
      </c>
      <c r="E54" s="16" t="inlineStr">
        <is>
          <t>Mar 2026</t>
        </is>
      </c>
    </row>
    <row r="55">
      <c r="A55" s="15" t="n">
        <v>46106</v>
      </c>
      <c r="B55" s="16" t="inlineStr">
        <is>
          <t>AplPay CHICK-FIL-A #CYPRESS TX</t>
        </is>
      </c>
      <c r="C55" s="17" t="n">
        <v>13.35</v>
      </c>
      <c r="D55" s="16" t="inlineStr">
        <is>
          <t>Dining Out</t>
        </is>
      </c>
      <c r="E55" s="16" t="inlineStr">
        <is>
          <t>Mar 2026</t>
        </is>
      </c>
    </row>
    <row r="56">
      <c r="A56" s="15" t="n">
        <v>46106</v>
      </c>
      <c r="B56" s="16" t="inlineStr">
        <is>
          <t>BASKIN #365105 36510CYPRESS TX</t>
        </is>
      </c>
      <c r="C56" s="17" t="n">
        <v>9.789999999999999</v>
      </c>
      <c r="D56" s="16" t="inlineStr">
        <is>
          <t>Dining Out</t>
        </is>
      </c>
      <c r="E56" s="16" t="inlineStr">
        <is>
          <t>Mar 2026</t>
        </is>
      </c>
    </row>
    <row r="57">
      <c r="A57" s="15" t="n">
        <v>46106</v>
      </c>
      <c r="B57" s="16" t="inlineStr">
        <is>
          <t>H-E-B #709 000000000CYPRESS TX</t>
        </is>
      </c>
      <c r="C57" s="17" t="n">
        <v>84</v>
      </c>
      <c r="D57" s="16" t="inlineStr">
        <is>
          <t>Groceries</t>
        </is>
      </c>
      <c r="E57" s="16" t="inlineStr">
        <is>
          <t>Mar 2026</t>
        </is>
      </c>
    </row>
    <row r="58">
      <c r="A58" s="15" t="n">
        <v>46106</v>
      </c>
      <c r="B58" s="16" t="inlineStr">
        <is>
          <t>MOBILE PAYMENT - THANK YOU</t>
        </is>
      </c>
      <c r="C58" s="17" t="n">
        <v>-912.76</v>
      </c>
      <c r="D58" s="16" t="inlineStr">
        <is>
          <t>Payments &amp; Adjustments</t>
        </is>
      </c>
      <c r="E58" s="16" t="inlineStr">
        <is>
          <t>Mar 2026</t>
        </is>
      </c>
    </row>
    <row r="59">
      <c r="A59" s="15" t="n">
        <v>46107</v>
      </c>
      <c r="B59" s="16" t="inlineStr">
        <is>
          <t>HIMALYA BAZAAR CYPRESS TX</t>
        </is>
      </c>
      <c r="C59" s="17" t="n">
        <v>28.04</v>
      </c>
      <c r="D59" s="16" t="inlineStr">
        <is>
          <t>Groceries</t>
        </is>
      </c>
      <c r="E59" s="16" t="inlineStr">
        <is>
          <t>Mar 2026</t>
        </is>
      </c>
    </row>
    <row r="60">
      <c r="A60" s="15" t="n">
        <v>46107</v>
      </c>
      <c r="B60" s="16" t="inlineStr">
        <is>
          <t>PIADA - 67 20711 TUCCYPRESS TX</t>
        </is>
      </c>
      <c r="C60" s="17" t="n">
        <v>13.31</v>
      </c>
      <c r="D60" s="16" t="inlineStr">
        <is>
          <t>Dining Out</t>
        </is>
      </c>
      <c r="E60" s="16" t="inlineStr">
        <is>
          <t>Mar 2026</t>
        </is>
      </c>
    </row>
    <row r="61">
      <c r="A61" s="15" t="n">
        <v>46107</v>
      </c>
      <c r="B61" s="16" t="inlineStr">
        <is>
          <t>ROSS DRESS FOR LESS CYPRESS TX</t>
        </is>
      </c>
      <c r="C61" s="17" t="n">
        <v>29.19</v>
      </c>
      <c r="D61" s="16" t="inlineStr">
        <is>
          <t>Shopping</t>
        </is>
      </c>
      <c r="E61" s="16" t="inlineStr">
        <is>
          <t>Mar 2026</t>
        </is>
      </c>
    </row>
    <row r="62">
      <c r="A62" s="15" t="n">
        <v>46108</v>
      </c>
      <c r="B62" s="16" t="inlineStr">
        <is>
          <t>STARBUCKS STORE 7147CYPRESS TX</t>
        </is>
      </c>
      <c r="C62" s="17" t="n">
        <v>15.78</v>
      </c>
      <c r="D62" s="16" t="inlineStr">
        <is>
          <t>Dining Out</t>
        </is>
      </c>
      <c r="E62" s="16" t="inlineStr">
        <is>
          <t>Mar 2026</t>
        </is>
      </c>
    </row>
    <row r="63">
      <c r="A63" s="15" t="n">
        <v>46108</v>
      </c>
      <c r="B63" s="16" t="inlineStr">
        <is>
          <t>TST* HASHTAG INDIA -CYPRESS TX</t>
        </is>
      </c>
      <c r="C63" s="17" t="n">
        <v>16.2</v>
      </c>
      <c r="D63" s="16" t="inlineStr">
        <is>
          <t>Dining Out</t>
        </is>
      </c>
      <c r="E63" s="16" t="inlineStr">
        <is>
          <t>Mar 2026</t>
        </is>
      </c>
    </row>
    <row r="64">
      <c r="A64" s="15" t="n">
        <v>46109</v>
      </c>
      <c r="B64" s="16" t="inlineStr">
        <is>
          <t>AMAZON MARKEPLACE NA PA</t>
        </is>
      </c>
      <c r="C64" s="17" t="n">
        <v>14.4</v>
      </c>
      <c r="D64" s="16" t="inlineStr">
        <is>
          <t>Shopping</t>
        </is>
      </c>
      <c r="E64" s="16" t="inlineStr">
        <is>
          <t>Mar 2026</t>
        </is>
      </c>
    </row>
    <row r="65">
      <c r="A65" s="15" t="n">
        <v>46109</v>
      </c>
      <c r="B65" s="16" t="inlineStr">
        <is>
          <t>AMAZON.COM AMZN.COM/BILL WA</t>
        </is>
      </c>
      <c r="C65" s="17" t="n">
        <v>16.25</v>
      </c>
      <c r="D65" s="16" t="inlineStr">
        <is>
          <t>Shopping</t>
        </is>
      </c>
      <c r="E65" s="16" t="inlineStr">
        <is>
          <t>Mar 2026</t>
        </is>
      </c>
    </row>
    <row r="66">
      <c r="A66" s="15" t="n">
        <v>46109</v>
      </c>
      <c r="B66" s="16" t="inlineStr">
        <is>
          <t>H-E-B #709 000000000CYPRESS TX</t>
        </is>
      </c>
      <c r="C66" s="17" t="n">
        <v>28.38</v>
      </c>
      <c r="D66" s="16" t="inlineStr">
        <is>
          <t>Groceries</t>
        </is>
      </c>
      <c r="E66" s="16" t="inlineStr">
        <is>
          <t>Mar 2026</t>
        </is>
      </c>
    </row>
    <row r="67">
      <c r="A67" s="15" t="n">
        <v>46109</v>
      </c>
      <c r="B67" s="16" t="inlineStr">
        <is>
          <t>HCTRA EZ TAG REBILL HOUSTON TX</t>
        </is>
      </c>
      <c r="C67" s="17" t="n">
        <v>40</v>
      </c>
      <c r="D67" s="16" t="inlineStr">
        <is>
          <t>Gas / Transit</t>
        </is>
      </c>
      <c r="E67" s="16" t="inlineStr">
        <is>
          <t>Mar 2026</t>
        </is>
      </c>
    </row>
    <row r="68">
      <c r="A68" s="15" t="n">
        <v>46109</v>
      </c>
      <c r="B68" s="16" t="inlineStr">
        <is>
          <t>HIMALYA BAZAAR CYPRESS TX</t>
        </is>
      </c>
      <c r="C68" s="17" t="n">
        <v>4.98</v>
      </c>
      <c r="D68" s="16" t="inlineStr">
        <is>
          <t>Groceries</t>
        </is>
      </c>
      <c r="E68" s="16" t="inlineStr">
        <is>
          <t>Mar 2026</t>
        </is>
      </c>
    </row>
    <row r="69">
      <c r="A69" s="15" t="n">
        <v>46109</v>
      </c>
      <c r="B69" s="16" t="inlineStr">
        <is>
          <t>TACO QUEEN Houston TX</t>
        </is>
      </c>
      <c r="C69" s="17" t="n">
        <v>10.82</v>
      </c>
      <c r="D69" s="16" t="inlineStr">
        <is>
          <t>Dining Out</t>
        </is>
      </c>
      <c r="E69" s="16" t="inlineStr">
        <is>
          <t>Mar 2026</t>
        </is>
      </c>
    </row>
    <row r="70">
      <c r="A70" s="15" t="n">
        <v>46109</v>
      </c>
      <c r="B70" s="16" t="inlineStr">
        <is>
          <t>TRIVENI KATY Katy TX</t>
        </is>
      </c>
      <c r="C70" s="17" t="n">
        <v>28.1</v>
      </c>
      <c r="D70" s="16" t="inlineStr">
        <is>
          <t>Groceries</t>
        </is>
      </c>
      <c r="E70" s="16" t="inlineStr">
        <is>
          <t>Mar 2026</t>
        </is>
      </c>
    </row>
    <row r="71">
      <c r="A71" s="15" t="n">
        <v>46109</v>
      </c>
      <c r="B71" s="16" t="inlineStr">
        <is>
          <t>TRIVENI SUPERMARKET KATY TX</t>
        </is>
      </c>
      <c r="C71" s="17" t="n">
        <v>88.51000000000001</v>
      </c>
      <c r="D71" s="16" t="inlineStr">
        <is>
          <t>Groceries</t>
        </is>
      </c>
      <c r="E71" s="16" t="inlineStr">
        <is>
          <t>Mar 2026</t>
        </is>
      </c>
    </row>
    <row r="72">
      <c r="A72" s="15" t="n">
        <v>46109</v>
      </c>
      <c r="B72" s="16" t="inlineStr">
        <is>
          <t>TST* HASHTAG INDIA -CYPRESS TX</t>
        </is>
      </c>
      <c r="C72" s="17" t="n">
        <v>21.61</v>
      </c>
      <c r="D72" s="16" t="inlineStr">
        <is>
          <t>Dining Out</t>
        </is>
      </c>
      <c r="E72" s="16" t="inlineStr">
        <is>
          <t>Mar 2026</t>
        </is>
      </c>
    </row>
    <row r="73">
      <c r="A73" s="15" t="n">
        <v>46109</v>
      </c>
      <c r="B73" s="16" t="inlineStr">
        <is>
          <t>TST* NIRMANZ FOOD BORICHMOND TX</t>
        </is>
      </c>
      <c r="C73" s="17" t="n">
        <v>65.61</v>
      </c>
      <c r="D73" s="16" t="inlineStr">
        <is>
          <t>Dining Out</t>
        </is>
      </c>
      <c r="E73" s="16" t="inlineStr">
        <is>
          <t>Mar 2026</t>
        </is>
      </c>
    </row>
    <row r="74">
      <c r="A74" s="15" t="n">
        <v>46110</v>
      </c>
      <c r="B74" s="16" t="inlineStr">
        <is>
          <t>DIL SE INDIAN FOOD TCypress TX</t>
        </is>
      </c>
      <c r="C74" s="17" t="n">
        <v>27.04</v>
      </c>
      <c r="D74" s="16" t="inlineStr">
        <is>
          <t>Dining Out</t>
        </is>
      </c>
      <c r="E74" s="16" t="inlineStr">
        <is>
          <t>Mar 2026</t>
        </is>
      </c>
    </row>
    <row r="75">
      <c r="A75" s="15" t="n">
        <v>46111</v>
      </c>
      <c r="B75" s="16" t="inlineStr">
        <is>
          <t>AMAZON GROCE*BG03G7AAMZN.COM/BILL WA</t>
        </is>
      </c>
      <c r="C75" s="17" t="n">
        <v>17.04</v>
      </c>
      <c r="D75" s="16" t="inlineStr">
        <is>
          <t>Groceries</t>
        </is>
      </c>
      <c r="E75" s="16" t="inlineStr">
        <is>
          <t>Mar 2026</t>
        </is>
      </c>
    </row>
    <row r="76">
      <c r="A76" s="15" t="n">
        <v>46111</v>
      </c>
      <c r="B76" s="16" t="inlineStr">
        <is>
          <t>AMAZON MARKEPLACE NA PA</t>
        </is>
      </c>
      <c r="C76" s="17" t="n">
        <v>11.9</v>
      </c>
      <c r="D76" s="16" t="inlineStr">
        <is>
          <t>Shopping</t>
        </is>
      </c>
      <c r="E76" s="16" t="inlineStr">
        <is>
          <t>Mar 2026</t>
        </is>
      </c>
    </row>
    <row r="77">
      <c r="A77" s="15" t="n">
        <v>46111</v>
      </c>
      <c r="B77" s="16" t="inlineStr">
        <is>
          <t>AMAZON MARKEPLACE NA PA</t>
        </is>
      </c>
      <c r="C77" s="17" t="n">
        <v>39.62</v>
      </c>
      <c r="D77" s="16" t="inlineStr">
        <is>
          <t>Shopping</t>
        </is>
      </c>
      <c r="E77" s="16" t="inlineStr">
        <is>
          <t>Mar 2026</t>
        </is>
      </c>
    </row>
    <row r="78">
      <c r="A78" s="15" t="n">
        <v>46111</v>
      </c>
      <c r="B78" s="16" t="inlineStr">
        <is>
          <t>ANTHROPIC SAN FRANCISCO CA</t>
        </is>
      </c>
      <c r="C78" s="17" t="n">
        <v>5.33</v>
      </c>
      <c r="D78" s="16" t="inlineStr">
        <is>
          <t>Subscriptions</t>
        </is>
      </c>
      <c r="E78" s="16" t="inlineStr">
        <is>
          <t>Mar 2026</t>
        </is>
      </c>
    </row>
    <row r="79">
      <c r="A79" s="15" t="n">
        <v>46111</v>
      </c>
      <c r="B79" s="16" t="inlineStr">
        <is>
          <t>MOBILE PAYMENT - THANK YOU</t>
        </is>
      </c>
      <c r="C79" s="17" t="n">
        <v>-690.84</v>
      </c>
      <c r="D79" s="16" t="inlineStr">
        <is>
          <t>Payments &amp; Adjustments</t>
        </is>
      </c>
      <c r="E79" s="16" t="inlineStr">
        <is>
          <t>Mar 2026</t>
        </is>
      </c>
    </row>
    <row r="80">
      <c r="A80" s="15" t="n">
        <v>46112</v>
      </c>
      <c r="B80" s="16" t="inlineStr">
        <is>
          <t>AMAZON MARKEPLACE NA PA</t>
        </is>
      </c>
      <c r="C80" s="17" t="n">
        <v>10.81</v>
      </c>
      <c r="D80" s="16" t="inlineStr">
        <is>
          <t>Shopping</t>
        </is>
      </c>
      <c r="E80" s="16" t="inlineStr">
        <is>
          <t>Mar 2026</t>
        </is>
      </c>
    </row>
    <row r="81">
      <c r="A81" s="15" t="n">
        <v>46112</v>
      </c>
      <c r="B81" s="16" t="inlineStr">
        <is>
          <t>AMAZON TIPS*BG2TO9XHAMZN.COM/BILL WA</t>
        </is>
      </c>
      <c r="C81" s="17" t="n">
        <v>1</v>
      </c>
      <c r="D81" s="16" t="inlineStr">
        <is>
          <t>Shopping</t>
        </is>
      </c>
      <c r="E81" s="16" t="inlineStr">
        <is>
          <t>Mar 2026</t>
        </is>
      </c>
    </row>
    <row r="82">
      <c r="A82" s="15" t="n">
        <v>46112</v>
      </c>
      <c r="B82" s="16" t="inlineStr">
        <is>
          <t>AMAZON.COM AMZN.COM/BILL WA</t>
        </is>
      </c>
      <c r="C82" s="17" t="n">
        <v>-16.25</v>
      </c>
      <c r="D82" s="16" t="inlineStr">
        <is>
          <t>Shopping</t>
        </is>
      </c>
      <c r="E82" s="16" t="inlineStr">
        <is>
          <t>Mar 2026</t>
        </is>
      </c>
    </row>
    <row r="83">
      <c r="A83" s="15" t="n">
        <v>46112</v>
      </c>
      <c r="B83" s="16" t="inlineStr">
        <is>
          <t>AMAZON.COM AMZN.COM/BILL WA</t>
        </is>
      </c>
      <c r="C83" s="17" t="n">
        <v>11.94</v>
      </c>
      <c r="D83" s="16" t="inlineStr">
        <is>
          <t>Shopping</t>
        </is>
      </c>
      <c r="E83" s="16" t="inlineStr">
        <is>
          <t>Mar 2026</t>
        </is>
      </c>
    </row>
    <row r="84">
      <c r="A84" s="15" t="n">
        <v>46112</v>
      </c>
      <c r="B84" s="16" t="inlineStr">
        <is>
          <t>ANTHROPIC SAN FRANCISCO CA</t>
        </is>
      </c>
      <c r="C84" s="17" t="n">
        <v>6.4</v>
      </c>
      <c r="D84" s="16" t="inlineStr">
        <is>
          <t>Subscriptions</t>
        </is>
      </c>
      <c r="E84" s="16" t="inlineStr">
        <is>
          <t>Mar 2026</t>
        </is>
      </c>
    </row>
    <row r="85">
      <c r="A85" s="15" t="n">
        <v>46112</v>
      </c>
      <c r="B85" s="16" t="inlineStr">
        <is>
          <t>AplPay CHIPOTLE MEX NEWPORT BEACH CA</t>
        </is>
      </c>
      <c r="C85" s="17" t="n">
        <v>14.13</v>
      </c>
      <c r="D85" s="16" t="inlineStr">
        <is>
          <t>Dining Out</t>
        </is>
      </c>
      <c r="E85" s="16" t="inlineStr">
        <is>
          <t>Mar 2026</t>
        </is>
      </c>
    </row>
    <row r="86">
      <c r="A86" s="15" t="n">
        <v>46112</v>
      </c>
      <c r="B86" s="16" t="inlineStr">
        <is>
          <t>TST* HASHTAG INDIA -CYPRESS TX</t>
        </is>
      </c>
      <c r="C86" s="17" t="n">
        <v>34.62</v>
      </c>
      <c r="D86" s="16" t="inlineStr">
        <is>
          <t>Dining Out</t>
        </is>
      </c>
      <c r="E86" s="16" t="inlineStr">
        <is>
          <t>Mar 2026</t>
        </is>
      </c>
    </row>
    <row r="87">
      <c r="A87" s="15" t="n">
        <v>46113</v>
      </c>
      <c r="B87" s="16" t="inlineStr">
        <is>
          <t>AMAZON MARKEPLACE NA PA</t>
        </is>
      </c>
      <c r="C87" s="17" t="n">
        <v>33.34</v>
      </c>
      <c r="D87" s="16" t="inlineStr">
        <is>
          <t>Shopping</t>
        </is>
      </c>
      <c r="E87" s="16" t="inlineStr">
        <is>
          <t>Apr 2026</t>
        </is>
      </c>
    </row>
    <row r="88">
      <c r="A88" s="15" t="n">
        <v>46113</v>
      </c>
      <c r="B88" s="16" t="inlineStr">
        <is>
          <t>H-E-B #709 000000000CYPRESS TX</t>
        </is>
      </c>
      <c r="C88" s="17" t="n">
        <v>4.31</v>
      </c>
      <c r="D88" s="16" t="inlineStr">
        <is>
          <t>Groceries</t>
        </is>
      </c>
      <c r="E88" s="16" t="inlineStr">
        <is>
          <t>Apr 2026</t>
        </is>
      </c>
    </row>
    <row r="89">
      <c r="A89" s="15" t="n">
        <v>46113</v>
      </c>
      <c r="B89" s="16" t="inlineStr">
        <is>
          <t>H-E-B #709 000000000CYPRESS TX</t>
        </is>
      </c>
      <c r="C89" s="17" t="n">
        <v>52.09</v>
      </c>
      <c r="D89" s="16" t="inlineStr">
        <is>
          <t>Groceries</t>
        </is>
      </c>
      <c r="E89" s="16" t="inlineStr">
        <is>
          <t>Apr 2026</t>
        </is>
      </c>
    </row>
    <row r="90">
      <c r="A90" s="15" t="n">
        <v>46114</v>
      </c>
      <c r="B90" s="16" t="inlineStr">
        <is>
          <t>AMEX HOTEL COLLECTN AmexTravel.com IL</t>
        </is>
      </c>
      <c r="C90" s="17" t="n">
        <v>759.84</v>
      </c>
      <c r="D90" s="16" t="inlineStr">
        <is>
          <t>Travel</t>
        </is>
      </c>
      <c r="E90" s="16" t="inlineStr">
        <is>
          <t>Apr 2026</t>
        </is>
      </c>
    </row>
    <row r="91">
      <c r="A91" s="15" t="n">
        <v>46114</v>
      </c>
      <c r="B91" s="16" t="inlineStr">
        <is>
          <t>AplPay SEAWORLD TEXAOrlando FL</t>
        </is>
      </c>
      <c r="C91" s="17" t="n">
        <v>277.11</v>
      </c>
      <c r="D91" s="16" t="inlineStr">
        <is>
          <t>Travel</t>
        </is>
      </c>
      <c r="E91" s="16" t="inlineStr">
        <is>
          <t>Apr 2026</t>
        </is>
      </c>
    </row>
    <row r="92">
      <c r="A92" s="15" t="n">
        <v>46114</v>
      </c>
      <c r="B92" s="16" t="inlineStr">
        <is>
          <t>BUC-EE'S #0017 OUTSILULING TX</t>
        </is>
      </c>
      <c r="C92" s="17" t="n">
        <v>47.01</v>
      </c>
      <c r="D92" s="16" t="inlineStr">
        <is>
          <t>Travel</t>
        </is>
      </c>
      <c r="E92" s="16" t="inlineStr">
        <is>
          <t>Apr 2026</t>
        </is>
      </c>
    </row>
    <row r="93">
      <c r="A93" s="15" t="n">
        <v>46114</v>
      </c>
      <c r="B93" s="16" t="inlineStr">
        <is>
          <t>BUC-EE'S #0017/UNBRALULING TX</t>
        </is>
      </c>
      <c r="C93" s="17" t="n">
        <v>35.4</v>
      </c>
      <c r="D93" s="16" t="inlineStr">
        <is>
          <t>Travel</t>
        </is>
      </c>
      <c r="E93" s="16" t="inlineStr">
        <is>
          <t>Apr 2026</t>
        </is>
      </c>
    </row>
    <row r="94">
      <c r="A94" s="15" t="n">
        <v>46114</v>
      </c>
      <c r="B94" s="16" t="inlineStr">
        <is>
          <t>Platinum Hotel Credit</t>
        </is>
      </c>
      <c r="C94" s="17" t="n">
        <v>-300</v>
      </c>
      <c r="D94" s="16" t="inlineStr">
        <is>
          <t>Travel</t>
        </is>
      </c>
      <c r="E94" s="16" t="inlineStr">
        <is>
          <t>Apr 2026</t>
        </is>
      </c>
    </row>
    <row r="95">
      <c r="A95" s="15" t="n">
        <v>46114</v>
      </c>
      <c r="B95" s="16" t="inlineStr">
        <is>
          <t>TST* HASHTAG INDIA -SAN ANTONIO TX</t>
        </is>
      </c>
      <c r="C95" s="17" t="n">
        <v>50.82</v>
      </c>
      <c r="D95" s="16" t="inlineStr">
        <is>
          <t>Dining Out</t>
        </is>
      </c>
      <c r="E95" s="16" t="inlineStr">
        <is>
          <t>Apr 2026</t>
        </is>
      </c>
    </row>
    <row r="96">
      <c r="A96" s="15" t="n">
        <v>46115</v>
      </c>
      <c r="B96" s="16" t="inlineStr">
        <is>
          <t>AplPay SEAWORLD-FOODSan Antonio TX</t>
        </is>
      </c>
      <c r="C96" s="17" t="n">
        <v>11.9</v>
      </c>
      <c r="D96" s="16" t="inlineStr">
        <is>
          <t>Travel</t>
        </is>
      </c>
      <c r="E96" s="16" t="inlineStr">
        <is>
          <t>Apr 2026</t>
        </is>
      </c>
    </row>
    <row r="97">
      <c r="A97" s="15" t="n">
        <v>46115</v>
      </c>
      <c r="B97" s="16" t="inlineStr">
        <is>
          <t>AplPay SEAWORLD-FOODSan Antonio TX</t>
        </is>
      </c>
      <c r="C97" s="17" t="n">
        <v>22.3</v>
      </c>
      <c r="D97" s="16" t="inlineStr">
        <is>
          <t>Travel</t>
        </is>
      </c>
      <c r="E97" s="16" t="inlineStr">
        <is>
          <t>Apr 2026</t>
        </is>
      </c>
    </row>
    <row r="98">
      <c r="A98" s="15" t="n">
        <v>46115</v>
      </c>
      <c r="B98" s="16" t="inlineStr">
        <is>
          <t>GO RIO SAN ANTONIO TSAN ANTONIO TX</t>
        </is>
      </c>
      <c r="C98" s="17" t="n">
        <v>50.34</v>
      </c>
      <c r="D98" s="16" t="inlineStr">
        <is>
          <t>Travel</t>
        </is>
      </c>
      <c r="E98" s="16" t="inlineStr">
        <is>
          <t>Apr 2026</t>
        </is>
      </c>
    </row>
    <row r="99">
      <c r="A99" s="15" t="n">
        <v>46115</v>
      </c>
      <c r="B99" s="16" t="inlineStr">
        <is>
          <t>SEAWORLD SA-TOLLS San Antonio TX</t>
        </is>
      </c>
      <c r="C99" s="17" t="n">
        <v>61.7</v>
      </c>
      <c r="D99" s="16" t="inlineStr">
        <is>
          <t>Travel</t>
        </is>
      </c>
      <c r="E99" s="16" t="inlineStr">
        <is>
          <t>Apr 2026</t>
        </is>
      </c>
    </row>
    <row r="100">
      <c r="A100" s="15" t="n">
        <v>46115</v>
      </c>
      <c r="B100" s="16" t="inlineStr">
        <is>
          <t>SEAWORLD-FOOD SVC San Antonio TX</t>
        </is>
      </c>
      <c r="C100" s="17" t="n">
        <v>21.09</v>
      </c>
      <c r="D100" s="16" t="inlineStr">
        <is>
          <t>Travel</t>
        </is>
      </c>
      <c r="E100" s="16" t="inlineStr">
        <is>
          <t>Apr 2026</t>
        </is>
      </c>
    </row>
    <row r="101">
      <c r="A101" s="15" t="n">
        <v>46115</v>
      </c>
      <c r="B101" s="16" t="inlineStr">
        <is>
          <t>SEAWORLD-FOOD SVC San Antonio TX</t>
        </is>
      </c>
      <c r="C101" s="17" t="n">
        <v>45.76</v>
      </c>
      <c r="D101" s="16" t="inlineStr">
        <is>
          <t>Travel</t>
        </is>
      </c>
      <c r="E101" s="16" t="inlineStr">
        <is>
          <t>Apr 2026</t>
        </is>
      </c>
    </row>
    <row r="102">
      <c r="A102" s="15" t="n">
        <v>46115</v>
      </c>
      <c r="B102" s="16" t="inlineStr">
        <is>
          <t>TST* HASHTAG INDIA -SAN ANTONIO TX</t>
        </is>
      </c>
      <c r="C102" s="17" t="n">
        <v>32.18</v>
      </c>
      <c r="D102" s="16" t="inlineStr">
        <is>
          <t>Dining Out</t>
        </is>
      </c>
      <c r="E102" s="16" t="inlineStr">
        <is>
          <t>Apr 2026</t>
        </is>
      </c>
    </row>
    <row r="103">
      <c r="A103" s="15" t="n">
        <v>46115</v>
      </c>
      <c r="B103" s="16" t="inlineStr">
        <is>
          <t>WALGREENS SAN ANTONIO TX</t>
        </is>
      </c>
      <c r="C103" s="17" t="n">
        <v>17.99</v>
      </c>
      <c r="D103" s="16" t="inlineStr">
        <is>
          <t>Health &amp; Fitness</t>
        </is>
      </c>
      <c r="E103" s="16" t="inlineStr">
        <is>
          <t>Apr 2026</t>
        </is>
      </c>
    </row>
    <row r="104">
      <c r="A104" s="15" t="n">
        <v>46116</v>
      </c>
      <c r="B104" s="16" t="inlineStr">
        <is>
          <t>AMAZON MARKEPLACE NA PA</t>
        </is>
      </c>
      <c r="C104" s="17" t="n">
        <v>53.04</v>
      </c>
      <c r="D104" s="16" t="inlineStr">
        <is>
          <t>Shopping</t>
        </is>
      </c>
      <c r="E104" s="16" t="inlineStr">
        <is>
          <t>Apr 2026</t>
        </is>
      </c>
    </row>
    <row r="105">
      <c r="A105" s="15" t="n">
        <v>46116</v>
      </c>
      <c r="B105" s="16" t="inlineStr">
        <is>
          <t>HYATT HILL COUNTRY RSAN ANTONIO TX</t>
        </is>
      </c>
      <c r="C105" s="17" t="n">
        <v>166.84</v>
      </c>
      <c r="D105" s="16" t="inlineStr">
        <is>
          <t>Travel</t>
        </is>
      </c>
      <c r="E105" s="16" t="inlineStr">
        <is>
          <t>Apr 2026</t>
        </is>
      </c>
    </row>
    <row r="106">
      <c r="A106" s="15" t="n">
        <v>46116</v>
      </c>
      <c r="B106" s="16" t="inlineStr">
        <is>
          <t>MCDONALD'S FLATONIA TX</t>
        </is>
      </c>
      <c r="C106" s="17" t="n">
        <v>15</v>
      </c>
      <c r="D106" s="16" t="inlineStr">
        <is>
          <t>Dining Out</t>
        </is>
      </c>
      <c r="E106" s="16" t="inlineStr">
        <is>
          <t>Apr 2026</t>
        </is>
      </c>
    </row>
    <row r="107">
      <c r="A107" s="15" t="n">
        <v>46116</v>
      </c>
      <c r="B107" s="16" t="inlineStr">
        <is>
          <t>SA002 - RIVER BEND GSAN ANTONIO TX</t>
        </is>
      </c>
      <c r="C107" s="17" t="n">
        <v>25</v>
      </c>
      <c r="D107" s="16" t="inlineStr">
        <is>
          <t>Travel</t>
        </is>
      </c>
      <c r="E107" s="16" t="inlineStr">
        <is>
          <t>Apr 2026</t>
        </is>
      </c>
    </row>
    <row r="108">
      <c r="A108" s="15" t="n">
        <v>46116</v>
      </c>
      <c r="B108" s="16" t="inlineStr">
        <is>
          <t>TRIVENI SUPERMARKET KATY TX</t>
        </is>
      </c>
      <c r="C108" s="17" t="n">
        <v>15.3</v>
      </c>
      <c r="D108" s="16" t="inlineStr">
        <is>
          <t>Groceries</t>
        </is>
      </c>
      <c r="E108" s="16" t="inlineStr">
        <is>
          <t>Apr 2026</t>
        </is>
      </c>
    </row>
    <row r="109">
      <c r="A109" s="15" t="n">
        <v>46116</v>
      </c>
      <c r="B109" s="16" t="inlineStr">
        <is>
          <t>TRIVENI SUPERMARKET KATY TX</t>
        </is>
      </c>
      <c r="C109" s="17" t="n">
        <v>29.98</v>
      </c>
      <c r="D109" s="16" t="inlineStr">
        <is>
          <t>Groceries</t>
        </is>
      </c>
      <c r="E109" s="16" t="inlineStr">
        <is>
          <t>Apr 2026</t>
        </is>
      </c>
    </row>
    <row r="110">
      <c r="A110" s="15" t="n">
        <v>46116</v>
      </c>
      <c r="B110" s="16" t="inlineStr">
        <is>
          <t>TST* HASHTAG INDIA -CYPRESS TX</t>
        </is>
      </c>
      <c r="C110" s="17" t="n">
        <v>22.7</v>
      </c>
      <c r="D110" s="16" t="inlineStr">
        <is>
          <t>Dining Out</t>
        </is>
      </c>
      <c r="E110" s="16" t="inlineStr">
        <is>
          <t>Apr 2026</t>
        </is>
      </c>
    </row>
    <row r="111">
      <c r="A111" s="15" t="n">
        <v>46116</v>
      </c>
      <c r="B111" s="16" t="inlineStr">
        <is>
          <t>TST* HASHTAG INDIA -SAN ANTONIO TX</t>
        </is>
      </c>
      <c r="C111" s="17" t="n">
        <v>11.08</v>
      </c>
      <c r="D111" s="16" t="inlineStr">
        <is>
          <t>Dining Out</t>
        </is>
      </c>
      <c r="E111" s="16" t="inlineStr">
        <is>
          <t>Apr 2026</t>
        </is>
      </c>
    </row>
    <row r="112">
      <c r="A112" s="15" t="n">
        <v>46118</v>
      </c>
      <c r="B112" s="16" t="inlineStr">
        <is>
          <t>H-E-B #709 000000000CYPRESS TX</t>
        </is>
      </c>
      <c r="C112" s="17" t="n">
        <v>48.51</v>
      </c>
      <c r="D112" s="16" t="inlineStr">
        <is>
          <t>Groceries</t>
        </is>
      </c>
      <c r="E112" s="16" t="inlineStr">
        <is>
          <t>Apr 2026</t>
        </is>
      </c>
    </row>
    <row r="113">
      <c r="A113" s="15" t="n">
        <v>46119</v>
      </c>
      <c r="B113" s="16" t="inlineStr">
        <is>
          <t>AMAZON.COM AMZN.COM/BILL WA</t>
        </is>
      </c>
      <c r="C113" s="17" t="n">
        <v>5.41</v>
      </c>
      <c r="D113" s="16" t="inlineStr">
        <is>
          <t>Shopping</t>
        </is>
      </c>
      <c r="E113" s="16" t="inlineStr">
        <is>
          <t>Apr 2026</t>
        </is>
      </c>
    </row>
    <row r="114">
      <c r="A114" s="15" t="n">
        <v>46119</v>
      </c>
      <c r="B114" s="16" t="inlineStr">
        <is>
          <t>ONLINE PAYMENT - THANK YOU</t>
        </is>
      </c>
      <c r="C114" s="17" t="n">
        <v>-1787.17</v>
      </c>
      <c r="D114" s="16" t="inlineStr">
        <is>
          <t>Payments &amp; Adjustments</t>
        </is>
      </c>
      <c r="E114" s="16" t="inlineStr">
        <is>
          <t>Apr 2026</t>
        </is>
      </c>
    </row>
    <row r="115">
      <c r="A115" s="15" t="n">
        <v>46120</v>
      </c>
      <c r="B115" s="16" t="inlineStr">
        <is>
          <t>AMAZON MARKEPLACE NA PA</t>
        </is>
      </c>
      <c r="C115" s="17" t="n">
        <v>10.81</v>
      </c>
      <c r="D115" s="16" t="inlineStr">
        <is>
          <t>Shopping</t>
        </is>
      </c>
      <c r="E115" s="16" t="inlineStr">
        <is>
          <t>Apr 2026</t>
        </is>
      </c>
    </row>
    <row r="116">
      <c r="A116" s="15" t="n">
        <v>46120</v>
      </c>
      <c r="B116" s="16" t="inlineStr">
        <is>
          <t>AMAZON.COM AMZN.COM/BILL WA</t>
        </is>
      </c>
      <c r="C116" s="17" t="n">
        <v>14.69</v>
      </c>
      <c r="D116" s="16" t="inlineStr">
        <is>
          <t>Shopping</t>
        </is>
      </c>
      <c r="E116" s="16" t="inlineStr">
        <is>
          <t>Apr 2026</t>
        </is>
      </c>
    </row>
    <row r="117">
      <c r="A117" s="15" t="n">
        <v>46120</v>
      </c>
      <c r="B117" s="16" t="inlineStr">
        <is>
          <t>AMERICAN EXPRESS TVLPHOENIX AZ</t>
        </is>
      </c>
      <c r="C117" s="17" t="n">
        <v>1697.67</v>
      </c>
      <c r="D117" s="16" t="inlineStr">
        <is>
          <t>Travel</t>
        </is>
      </c>
      <c r="E117" s="16" t="inlineStr">
        <is>
          <t>Apr 2026</t>
        </is>
      </c>
    </row>
    <row r="118">
      <c r="A118" s="15" t="n">
        <v>46120</v>
      </c>
      <c r="B118" s="16" t="inlineStr">
        <is>
          <t>AMERICAN EXPRESS TVLPHOENIX AZ</t>
        </is>
      </c>
      <c r="C118" s="17" t="n">
        <v>1697.67</v>
      </c>
      <c r="D118" s="16" t="inlineStr">
        <is>
          <t>Travel</t>
        </is>
      </c>
      <c r="E118" s="16" t="inlineStr">
        <is>
          <t>Apr 2026</t>
        </is>
      </c>
    </row>
    <row r="119">
      <c r="A119" s="15" t="n">
        <v>46120</v>
      </c>
      <c r="B119" s="16" t="inlineStr">
        <is>
          <t>AMERICAN EXPRESS TVLPHOENIX AZ</t>
        </is>
      </c>
      <c r="C119" s="17" t="n">
        <v>1697.67</v>
      </c>
      <c r="D119" s="16" t="inlineStr">
        <is>
          <t>Travel</t>
        </is>
      </c>
      <c r="E119" s="16" t="inlineStr">
        <is>
          <t>Apr 2026</t>
        </is>
      </c>
    </row>
    <row r="120">
      <c r="A120" s="15" t="n">
        <v>46120</v>
      </c>
      <c r="B120" s="16" t="inlineStr">
        <is>
          <t>AMEX TRAVEL PAY WITH POINTS CREDIT</t>
        </is>
      </c>
      <c r="C120" s="17" t="n">
        <v>-500</v>
      </c>
      <c r="D120" s="16" t="inlineStr">
        <is>
          <t>Travel</t>
        </is>
      </c>
      <c r="E120" s="16" t="inlineStr">
        <is>
          <t>Apr 2026</t>
        </is>
      </c>
    </row>
    <row r="121">
      <c r="A121" s="15" t="n">
        <v>46120</v>
      </c>
      <c r="B121" s="16" t="inlineStr">
        <is>
          <t>AplPay BT*DD *DOORDASAN FRANCISCO CA</t>
        </is>
      </c>
      <c r="C121" s="17" t="n">
        <v>23.88</v>
      </c>
      <c r="D121" s="16" t="inlineStr">
        <is>
          <t>Dining Out</t>
        </is>
      </c>
      <c r="E121" s="16" t="inlineStr">
        <is>
          <t>Apr 2026</t>
        </is>
      </c>
    </row>
    <row r="122">
      <c r="A122" s="15" t="n">
        <v>46120</v>
      </c>
      <c r="B122" s="16" t="inlineStr">
        <is>
          <t>AplPay OLIVE GARDEN CYPRESS TX</t>
        </is>
      </c>
      <c r="C122" s="17" t="n">
        <v>23.29</v>
      </c>
      <c r="D122" s="16" t="inlineStr">
        <is>
          <t>Dining Out</t>
        </is>
      </c>
      <c r="E122" s="16" t="inlineStr">
        <is>
          <t>Apr 2026</t>
        </is>
      </c>
    </row>
    <row r="123">
      <c r="A123" s="15" t="n">
        <v>46120</v>
      </c>
      <c r="B123" s="16" t="inlineStr">
        <is>
          <t>QATAR AIRWAYS AMERICUNITED STATES OF AME</t>
        </is>
      </c>
      <c r="C123" s="17" t="n">
        <v>1872.69</v>
      </c>
      <c r="D123" s="16" t="inlineStr">
        <is>
          <t>Travel</t>
        </is>
      </c>
      <c r="E123" s="16" t="inlineStr">
        <is>
          <t>Apr 2026</t>
        </is>
      </c>
    </row>
    <row r="124">
      <c r="A124" s="15" t="n">
        <v>46120</v>
      </c>
      <c r="B124" s="16" t="inlineStr">
        <is>
          <t>QATAR AIRWAYS AMERICUNITED STATES OF AME</t>
        </is>
      </c>
      <c r="C124" s="17" t="n">
        <v>1872.69</v>
      </c>
      <c r="D124" s="16" t="inlineStr">
        <is>
          <t>Travel</t>
        </is>
      </c>
      <c r="E124" s="16" t="inlineStr">
        <is>
          <t>Apr 2026</t>
        </is>
      </c>
    </row>
    <row r="125">
      <c r="A125" s="15" t="n">
        <v>46120</v>
      </c>
      <c r="B125" s="16" t="inlineStr">
        <is>
          <t>QATAR AIRWAYS AMERICUNITED STATES OF AME</t>
        </is>
      </c>
      <c r="C125" s="17" t="n">
        <v>1872.69</v>
      </c>
      <c r="D125" s="16" t="inlineStr">
        <is>
          <t>Travel</t>
        </is>
      </c>
      <c r="E125" s="16" t="inlineStr">
        <is>
          <t>Apr 2026</t>
        </is>
      </c>
    </row>
    <row r="126">
      <c r="A126" s="15" t="n">
        <v>46120</v>
      </c>
      <c r="B126" s="16" t="inlineStr">
        <is>
          <t>TRIVENI FOOD COURT 2KATY TX</t>
        </is>
      </c>
      <c r="C126" s="17" t="n">
        <v>19.42</v>
      </c>
      <c r="D126" s="16" t="inlineStr">
        <is>
          <t>Dining Out</t>
        </is>
      </c>
      <c r="E126" s="16" t="inlineStr">
        <is>
          <t>Apr 2026</t>
        </is>
      </c>
    </row>
    <row r="127">
      <c r="A127" s="15" t="n">
        <v>46120</v>
      </c>
      <c r="B127" s="16" t="inlineStr">
        <is>
          <t>TRIVENI SUPERMARKET KATY TX</t>
        </is>
      </c>
      <c r="C127" s="17" t="n">
        <v>49.37</v>
      </c>
      <c r="D127" s="16" t="inlineStr">
        <is>
          <t>Groceries</t>
        </is>
      </c>
      <c r="E127" s="16" t="inlineStr">
        <is>
          <t>Apr 2026</t>
        </is>
      </c>
    </row>
    <row r="128">
      <c r="A128" s="15" t="n">
        <v>46120</v>
      </c>
      <c r="B128" s="16" t="inlineStr">
        <is>
          <t>TRIVENI SUPERMARKET KATY TX</t>
        </is>
      </c>
      <c r="C128" s="17" t="n">
        <v>53.3</v>
      </c>
      <c r="D128" s="16" t="inlineStr">
        <is>
          <t>Groceries</t>
        </is>
      </c>
      <c r="E128" s="16" t="inlineStr">
        <is>
          <t>Apr 2026</t>
        </is>
      </c>
    </row>
    <row r="129">
      <c r="A129" s="15" t="n">
        <v>46120</v>
      </c>
      <c r="B129" s="16" t="inlineStr">
        <is>
          <t>TST* HASHTAG INDIA -CYPRESS TX</t>
        </is>
      </c>
      <c r="C129" s="17" t="n">
        <v>6.47</v>
      </c>
      <c r="D129" s="16" t="inlineStr">
        <is>
          <t>Dining Out</t>
        </is>
      </c>
      <c r="E129" s="16" t="inlineStr">
        <is>
          <t>Apr 2026</t>
        </is>
      </c>
    </row>
    <row r="130">
      <c r="A130" s="15" t="n">
        <v>46121</v>
      </c>
      <c r="B130" s="16" t="inlineStr">
        <is>
          <t>AMAZON MARKEPLACE NA PA</t>
        </is>
      </c>
      <c r="C130" s="17" t="n">
        <v>11.9</v>
      </c>
      <c r="D130" s="16" t="inlineStr">
        <is>
          <t>Shopping</t>
        </is>
      </c>
      <c r="E130" s="16" t="inlineStr">
        <is>
          <t>Apr 2026</t>
        </is>
      </c>
    </row>
    <row r="131">
      <c r="A131" s="15" t="n">
        <v>46121</v>
      </c>
      <c r="B131" s="16" t="inlineStr">
        <is>
          <t>BOMBSHELLS (59) HOUSTON TX</t>
        </is>
      </c>
      <c r="C131" s="17" t="n">
        <v>42.77</v>
      </c>
      <c r="D131" s="16" t="inlineStr">
        <is>
          <t>Gas / Transit</t>
        </is>
      </c>
      <c r="E131" s="16" t="inlineStr">
        <is>
          <t>Apr 2026</t>
        </is>
      </c>
    </row>
    <row r="132">
      <c r="A132" s="15" t="n">
        <v>46121</v>
      </c>
      <c r="B132" s="16" t="inlineStr">
        <is>
          <t>HCTRA EZ TAG REBILL HOUSTON TX</t>
        </is>
      </c>
      <c r="C132" s="17" t="n">
        <v>40</v>
      </c>
      <c r="D132" s="16" t="inlineStr">
        <is>
          <t>Gas / Transit</t>
        </is>
      </c>
      <c r="E132" s="16" t="inlineStr">
        <is>
          <t>Apr 2026</t>
        </is>
      </c>
    </row>
    <row r="133">
      <c r="A133" s="15" t="n">
        <v>46121</v>
      </c>
      <c r="B133" s="16" t="inlineStr">
        <is>
          <t>HOUSTON KP LLC 06888HOUSTON TX</t>
        </is>
      </c>
      <c r="C133" s="17" t="n">
        <v>22.07</v>
      </c>
      <c r="D133" s="16" t="inlineStr">
        <is>
          <t>Miscellaneous</t>
        </is>
      </c>
      <c r="E133" s="16" t="inlineStr">
        <is>
          <t>Apr 2026</t>
        </is>
      </c>
    </row>
    <row r="134">
      <c r="A134" s="15" t="n">
        <v>46121</v>
      </c>
      <c r="B134" s="16" t="inlineStr">
        <is>
          <t>HOUSTON KP LLC 06888HOUSTON TX</t>
        </is>
      </c>
      <c r="C134" s="17" t="n">
        <v>39.91</v>
      </c>
      <c r="D134" s="16" t="inlineStr">
        <is>
          <t>Miscellaneous</t>
        </is>
      </c>
      <c r="E134" s="16" t="inlineStr">
        <is>
          <t>Apr 2026</t>
        </is>
      </c>
    </row>
    <row r="135">
      <c r="A135" s="15" t="n">
        <v>46121</v>
      </c>
      <c r="B135" s="16" t="inlineStr">
        <is>
          <t>HOUSTON KP LLC 06888HOUSTON TX</t>
        </is>
      </c>
      <c r="C135" s="17" t="n">
        <v>48.83</v>
      </c>
      <c r="D135" s="16" t="inlineStr">
        <is>
          <t>Miscellaneous</t>
        </is>
      </c>
      <c r="E135" s="16" t="inlineStr">
        <is>
          <t>Apr 2026</t>
        </is>
      </c>
    </row>
    <row r="136">
      <c r="A136" s="15" t="n">
        <v>46121</v>
      </c>
      <c r="B136" s="16" t="inlineStr">
        <is>
          <t>IBC MEAT &amp; SEAFOOD KATY TX</t>
        </is>
      </c>
      <c r="C136" s="17" t="n">
        <v>8.23</v>
      </c>
      <c r="D136" s="16" t="inlineStr">
        <is>
          <t>Groceries</t>
        </is>
      </c>
      <c r="E136" s="16" t="inlineStr">
        <is>
          <t>Apr 2026</t>
        </is>
      </c>
    </row>
    <row r="137">
      <c r="A137" s="15" t="n">
        <v>46121</v>
      </c>
      <c r="B137" s="16" t="inlineStr">
        <is>
          <t>INDIAN BAZAAR &amp; CAFEKATY TX</t>
        </is>
      </c>
      <c r="C137" s="17" t="n">
        <v>10.55</v>
      </c>
      <c r="D137" s="16" t="inlineStr">
        <is>
          <t>Groceries</t>
        </is>
      </c>
      <c r="E137" s="16" t="inlineStr">
        <is>
          <t>Apr 2026</t>
        </is>
      </c>
    </row>
    <row r="138">
      <c r="A138" s="15" t="n">
        <v>46122</v>
      </c>
      <c r="B138" s="16" t="inlineStr">
        <is>
          <t>ADJ REDIST PURCHASE BAL</t>
        </is>
      </c>
      <c r="C138" s="17" t="n">
        <v>-80.38</v>
      </c>
      <c r="D138" s="16" t="inlineStr">
        <is>
          <t>Payments &amp; Adjustments</t>
        </is>
      </c>
      <c r="E138" s="16" t="inlineStr">
        <is>
          <t>Apr 2026</t>
        </is>
      </c>
    </row>
    <row r="139">
      <c r="A139" s="15" t="n">
        <v>46122</v>
      </c>
      <c r="B139" s="16" t="inlineStr">
        <is>
          <t>AplPay HASHTAGINDIA.MCKINNEY TX</t>
        </is>
      </c>
      <c r="C139" s="17" t="n">
        <v>19.97</v>
      </c>
      <c r="D139" s="16" t="inlineStr">
        <is>
          <t>Dining Out</t>
        </is>
      </c>
      <c r="E139" s="16" t="inlineStr">
        <is>
          <t>Apr 2026</t>
        </is>
      </c>
    </row>
    <row r="140">
      <c r="A140" s="15" t="n">
        <v>46122</v>
      </c>
      <c r="B140" s="16" t="inlineStr">
        <is>
          <t>AplPay WINGSTOP 1556CYPRESS TX</t>
        </is>
      </c>
      <c r="C140" s="17" t="n">
        <v>16.65</v>
      </c>
      <c r="D140" s="16" t="inlineStr">
        <is>
          <t>Dining Out</t>
        </is>
      </c>
      <c r="E140" s="16" t="inlineStr">
        <is>
          <t>Apr 2026</t>
        </is>
      </c>
    </row>
    <row r="141">
      <c r="A141" s="15" t="n">
        <v>46122</v>
      </c>
      <c r="B141" s="16" t="inlineStr">
        <is>
          <t>DR ADJ REDIST CADV PRIN</t>
        </is>
      </c>
      <c r="C141" s="17" t="n">
        <v>80.38</v>
      </c>
      <c r="D141" s="16" t="inlineStr">
        <is>
          <t>Payments &amp; Adjustments</t>
        </is>
      </c>
      <c r="E141" s="16" t="inlineStr">
        <is>
          <t>Apr 2026</t>
        </is>
      </c>
    </row>
    <row r="142">
      <c r="A142" s="15" t="n">
        <v>46122</v>
      </c>
      <c r="B142" s="16" t="inlineStr">
        <is>
          <t>TESLA INC SUPERCHARGPALO ALTO</t>
        </is>
      </c>
      <c r="C142" s="17" t="n">
        <v>5.8</v>
      </c>
      <c r="D142" s="16" t="inlineStr">
        <is>
          <t>Gas / Transit</t>
        </is>
      </c>
      <c r="E142" s="16" t="inlineStr">
        <is>
          <t>Apr 2026</t>
        </is>
      </c>
    </row>
    <row r="143">
      <c r="A143" s="15" t="n">
        <v>46122</v>
      </c>
      <c r="B143" s="16" t="inlineStr">
        <is>
          <t>TESLA INC SUPERCHARGPALO ALTO</t>
        </is>
      </c>
      <c r="C143" s="17" t="n">
        <v>7.22</v>
      </c>
      <c r="D143" s="16" t="inlineStr">
        <is>
          <t>Gas / Transit</t>
        </is>
      </c>
      <c r="E143" s="16" t="inlineStr">
        <is>
          <t>Apr 2026</t>
        </is>
      </c>
    </row>
    <row r="144">
      <c r="A144" s="15" t="n">
        <v>46122</v>
      </c>
      <c r="B144" s="16" t="inlineStr">
        <is>
          <t>TST* HASHTAG INDIA -CYPRESS TX</t>
        </is>
      </c>
      <c r="C144" s="17" t="n">
        <v>1.08</v>
      </c>
      <c r="D144" s="16" t="inlineStr">
        <is>
          <t>Dining Out</t>
        </is>
      </c>
      <c r="E144" s="16" t="inlineStr">
        <is>
          <t>Apr 2026</t>
        </is>
      </c>
    </row>
    <row r="145">
      <c r="A145" s="15" t="n">
        <v>46123</v>
      </c>
      <c r="B145" s="16" t="inlineStr">
        <is>
          <t>MOBILE PAYMENT - THANK YOU</t>
        </is>
      </c>
      <c r="C145" s="17" t="n">
        <v>-5270.55</v>
      </c>
      <c r="D145" s="16" t="inlineStr">
        <is>
          <t>Payments &amp; Adjustments</t>
        </is>
      </c>
      <c r="E145" s="16" t="inlineStr">
        <is>
          <t>Apr 2026</t>
        </is>
      </c>
    </row>
    <row r="146">
      <c r="A146" s="15" t="n">
        <v>46123</v>
      </c>
      <c r="B146" s="16" t="inlineStr">
        <is>
          <t>PANERA BREAD HOUSTON TX</t>
        </is>
      </c>
      <c r="C146" s="17" t="n">
        <v>16.18</v>
      </c>
      <c r="D146" s="16" t="inlineStr">
        <is>
          <t>Dining Out</t>
        </is>
      </c>
      <c r="E146" s="16" t="inlineStr">
        <is>
          <t>Apr 2026</t>
        </is>
      </c>
    </row>
    <row r="147">
      <c r="A147" s="15" t="n">
        <v>46123</v>
      </c>
      <c r="B147" s="16" t="inlineStr">
        <is>
          <t>TOTAL WINE AND MORE HOUSTON TX</t>
        </is>
      </c>
      <c r="C147" s="17" t="n">
        <v>73.59999999999999</v>
      </c>
      <c r="D147" s="16" t="inlineStr">
        <is>
          <t>Groceries</t>
        </is>
      </c>
      <c r="E147" s="16" t="inlineStr">
        <is>
          <t>Apr 2026</t>
        </is>
      </c>
    </row>
    <row r="148">
      <c r="A148" s="15" t="n">
        <v>46124</v>
      </c>
      <c r="B148" s="16" t="inlineStr">
        <is>
          <t>AMAZON.COM AMZN.COM/BILL WA</t>
        </is>
      </c>
      <c r="C148" s="17" t="n">
        <v>8.449999999999999</v>
      </c>
      <c r="D148" s="16" t="inlineStr">
        <is>
          <t>Shopping</t>
        </is>
      </c>
      <c r="E148" s="16" t="inlineStr">
        <is>
          <t>Apr 2026</t>
        </is>
      </c>
    </row>
    <row r="149">
      <c r="A149" s="15" t="n">
        <v>46125</v>
      </c>
      <c r="B149" s="16" t="inlineStr">
        <is>
          <t>AMAZON MARKEPLACE NA PA</t>
        </is>
      </c>
      <c r="C149" s="17" t="n">
        <v>28.65</v>
      </c>
      <c r="D149" s="16" t="inlineStr">
        <is>
          <t>Shopping</t>
        </is>
      </c>
      <c r="E149" s="16" t="inlineStr">
        <is>
          <t>Apr 2026</t>
        </is>
      </c>
    </row>
    <row r="150">
      <c r="A150" s="15" t="n">
        <v>46125</v>
      </c>
      <c r="B150" s="16" t="inlineStr">
        <is>
          <t>AMAZON MARKEPLACE NA PA</t>
        </is>
      </c>
      <c r="C150" s="17" t="n">
        <v>32.42</v>
      </c>
      <c r="D150" s="16" t="inlineStr">
        <is>
          <t>Shopping</t>
        </is>
      </c>
      <c r="E150" s="16" t="inlineStr">
        <is>
          <t>Apr 2026</t>
        </is>
      </c>
    </row>
    <row r="151">
      <c r="A151" s="15" t="n">
        <v>46125</v>
      </c>
      <c r="B151" s="16" t="inlineStr">
        <is>
          <t>AplPay CHICK-FIL-A #CYPRESS TX</t>
        </is>
      </c>
      <c r="C151" s="17" t="n">
        <v>11.29</v>
      </c>
      <c r="D151" s="16" t="inlineStr">
        <is>
          <t>Dining Out</t>
        </is>
      </c>
      <c r="E151" s="16" t="inlineStr">
        <is>
          <t>Apr 2026</t>
        </is>
      </c>
    </row>
    <row r="152">
      <c r="A152" s="15" t="n">
        <v>46125</v>
      </c>
      <c r="B152" s="16" t="inlineStr">
        <is>
          <t>MOBILE PAYMENT - THANK YOU</t>
        </is>
      </c>
      <c r="C152" s="17" t="n">
        <v>-5470.66</v>
      </c>
      <c r="D152" s="16" t="inlineStr">
        <is>
          <t>Payments &amp; Adjustments</t>
        </is>
      </c>
      <c r="E152" s="16" t="inlineStr">
        <is>
          <t>Apr 2026</t>
        </is>
      </c>
    </row>
    <row r="153">
      <c r="A153" s="15" t="n">
        <v>46126</v>
      </c>
      <c r="B153" s="16" t="inlineStr">
        <is>
          <t>AMAZON.COM AMZN.COM/BILL WA</t>
        </is>
      </c>
      <c r="C153" s="17" t="n">
        <v>44.18</v>
      </c>
      <c r="D153" s="16" t="inlineStr">
        <is>
          <t>Shopping</t>
        </is>
      </c>
      <c r="E153" s="16" t="inlineStr">
        <is>
          <t>Apr 2026</t>
        </is>
      </c>
    </row>
    <row r="154">
      <c r="A154" s="15" t="n">
        <v>46126</v>
      </c>
      <c r="B154" s="16" t="inlineStr">
        <is>
          <t>AT&amp;T UVERSE PAYMENT 8002882020 TX</t>
        </is>
      </c>
      <c r="C154" s="17" t="n">
        <v>201.72</v>
      </c>
      <c r="D154" s="16" t="inlineStr">
        <is>
          <t>Internet &amp; Phone</t>
        </is>
      </c>
      <c r="E154" s="16" t="inlineStr">
        <is>
          <t>Apr 2026</t>
        </is>
      </c>
    </row>
    <row r="155">
      <c r="A155" s="15" t="n">
        <v>46126</v>
      </c>
      <c r="B155" s="16" t="inlineStr">
        <is>
          <t>TARGET 028829KATY TX</t>
        </is>
      </c>
      <c r="C155" s="17" t="n">
        <v>45.47</v>
      </c>
      <c r="D155" s="16" t="inlineStr">
        <is>
          <t>Shopping</t>
        </is>
      </c>
      <c r="E155" s="16" t="inlineStr">
        <is>
          <t>Apr 2026</t>
        </is>
      </c>
    </row>
    <row r="156">
      <c r="A156" s="15" t="n">
        <v>46126</v>
      </c>
      <c r="B156" s="16" t="inlineStr">
        <is>
          <t>UHC SAFETRIP 410-453-6380 MN</t>
        </is>
      </c>
      <c r="C156" s="17" t="n">
        <v>75.14</v>
      </c>
      <c r="D156" s="16" t="inlineStr">
        <is>
          <t>Travel</t>
        </is>
      </c>
      <c r="E156" s="16" t="inlineStr">
        <is>
          <t>Apr 2026</t>
        </is>
      </c>
    </row>
    <row r="157">
      <c r="A157" s="15" t="n">
        <v>46127</v>
      </c>
      <c r="B157" s="16" t="inlineStr">
        <is>
          <t>AMAZON MARKEPLACE NA PA</t>
        </is>
      </c>
      <c r="C157" s="17" t="n">
        <v>37.88</v>
      </c>
      <c r="D157" s="16" t="inlineStr">
        <is>
          <t>Shopping</t>
        </is>
      </c>
      <c r="E157" s="16" t="inlineStr">
        <is>
          <t>Apr 2026</t>
        </is>
      </c>
    </row>
    <row r="158">
      <c r="A158" s="15" t="n">
        <v>46127</v>
      </c>
      <c r="B158" s="16" t="inlineStr">
        <is>
          <t>AMAZON.COM AMZN.COM/BILL WA</t>
        </is>
      </c>
      <c r="C158" s="17" t="n">
        <v>17.3</v>
      </c>
      <c r="D158" s="16" t="inlineStr">
        <is>
          <t>Shopping</t>
        </is>
      </c>
      <c r="E158" s="16" t="inlineStr">
        <is>
          <t>Apr 2026</t>
        </is>
      </c>
    </row>
    <row r="159">
      <c r="A159" s="15" t="n">
        <v>46127</v>
      </c>
      <c r="B159" s="16" t="inlineStr">
        <is>
          <t>AplPay GRINGOS LA PORTE TX</t>
        </is>
      </c>
      <c r="C159" s="17" t="n">
        <v>34.86</v>
      </c>
      <c r="D159" s="16" t="inlineStr">
        <is>
          <t>Dining Out</t>
        </is>
      </c>
      <c r="E159" s="16" t="inlineStr">
        <is>
          <t>Apr 2026</t>
        </is>
      </c>
    </row>
    <row r="160">
      <c r="A160" s="15" t="n">
        <v>46128</v>
      </c>
      <c r="B160" s="16" t="inlineStr">
        <is>
          <t>AMAZON MARKEPLACE NA PA</t>
        </is>
      </c>
      <c r="C160" s="17" t="n">
        <v>35.71</v>
      </c>
      <c r="D160" s="16" t="inlineStr">
        <is>
          <t>Shopping</t>
        </is>
      </c>
      <c r="E160" s="16" t="inlineStr">
        <is>
          <t>Apr 2026</t>
        </is>
      </c>
    </row>
    <row r="161">
      <c r="A161" s="15" t="n">
        <v>46128</v>
      </c>
      <c r="B161" s="16" t="inlineStr">
        <is>
          <t>AMAZON.COM AMZN.COM/BILL WA</t>
        </is>
      </c>
      <c r="C161" s="17" t="n">
        <v>17.48</v>
      </c>
      <c r="D161" s="16" t="inlineStr">
        <is>
          <t>Shopping</t>
        </is>
      </c>
      <c r="E161" s="16" t="inlineStr">
        <is>
          <t>Apr 2026</t>
        </is>
      </c>
    </row>
    <row r="162">
      <c r="A162" s="15" t="n">
        <v>46128</v>
      </c>
      <c r="B162" s="16" t="inlineStr">
        <is>
          <t>AT&amp;T UVERSE PAYMENT 8002882020 TX</t>
        </is>
      </c>
      <c r="C162" s="17" t="n">
        <v>100.83</v>
      </c>
      <c r="D162" s="16" t="inlineStr">
        <is>
          <t>Internet &amp; Phone</t>
        </is>
      </c>
      <c r="E162" s="16" t="inlineStr">
        <is>
          <t>Apr 2026</t>
        </is>
      </c>
    </row>
    <row r="163">
      <c r="A163" s="15" t="n">
        <v>46128</v>
      </c>
      <c r="B163" s="16" t="inlineStr">
        <is>
          <t>HIMALYA BAZAAR CYPRESS TX</t>
        </is>
      </c>
      <c r="C163" s="17" t="n">
        <v>38.64</v>
      </c>
      <c r="D163" s="16" t="inlineStr">
        <is>
          <t>Groceries</t>
        </is>
      </c>
      <c r="E163" s="16" t="inlineStr">
        <is>
          <t>Apr 2026</t>
        </is>
      </c>
    </row>
    <row r="164">
      <c r="A164" s="15" t="n">
        <v>46128</v>
      </c>
      <c r="B164" s="16" t="inlineStr">
        <is>
          <t>TST* HASHTAG INDIA -CYPRESS TX</t>
        </is>
      </c>
      <c r="C164" s="17" t="n">
        <v>27.02</v>
      </c>
      <c r="D164" s="16" t="inlineStr">
        <is>
          <t>Dining Out</t>
        </is>
      </c>
      <c r="E164" s="16" t="inlineStr">
        <is>
          <t>Apr 2026</t>
        </is>
      </c>
    </row>
    <row r="165">
      <c r="A165" s="15" t="n">
        <v>46129</v>
      </c>
      <c r="B165" s="16" t="inlineStr">
        <is>
          <t>AplPay STUBHUB SAN FRANCISCO CA</t>
        </is>
      </c>
      <c r="C165" s="17" t="n">
        <v>281.19</v>
      </c>
      <c r="D165" s="16" t="inlineStr">
        <is>
          <t>Entertainment</t>
        </is>
      </c>
      <c r="E165" s="16" t="inlineStr">
        <is>
          <t>Apr 2026</t>
        </is>
      </c>
    </row>
    <row r="166">
      <c r="A166" s="15" t="n">
        <v>46129</v>
      </c>
      <c r="B166" s="16" t="inlineStr">
        <is>
          <t>TRIVENI SUPERMARKET KATY TX</t>
        </is>
      </c>
      <c r="C166" s="17" t="n">
        <v>24.1</v>
      </c>
      <c r="D166" s="16" t="inlineStr">
        <is>
          <t>Groceries</t>
        </is>
      </c>
      <c r="E166" s="16" t="inlineStr">
        <is>
          <t>Apr 2026</t>
        </is>
      </c>
    </row>
    <row r="167">
      <c r="A167" s="15" t="n">
        <v>46129</v>
      </c>
      <c r="B167" s="16" t="inlineStr">
        <is>
          <t>TRIVENI SUPERMARKET KATY TX</t>
        </is>
      </c>
      <c r="C167" s="17" t="n">
        <v>39.8</v>
      </c>
      <c r="D167" s="16" t="inlineStr">
        <is>
          <t>Groceries</t>
        </is>
      </c>
      <c r="E167" s="16" t="inlineStr">
        <is>
          <t>Apr 2026</t>
        </is>
      </c>
    </row>
    <row r="168">
      <c r="A168" s="15" t="n">
        <v>46129</v>
      </c>
      <c r="B168" s="16" t="inlineStr">
        <is>
          <t>TRIVENI SUPERMARKET KATY TX</t>
        </is>
      </c>
      <c r="C168" s="17" t="n">
        <v>54.55</v>
      </c>
      <c r="D168" s="16" t="inlineStr">
        <is>
          <t>Groceries</t>
        </is>
      </c>
      <c r="E168" s="16" t="inlineStr">
        <is>
          <t>Apr 2026</t>
        </is>
      </c>
    </row>
    <row r="169">
      <c r="A169" s="15" t="n">
        <v>46129</v>
      </c>
      <c r="B169" s="16" t="inlineStr">
        <is>
          <t>TST* HASHTAG INDIA -CYPRESS TX</t>
        </is>
      </c>
      <c r="C169" s="17" t="n">
        <v>10.81</v>
      </c>
      <c r="D169" s="16" t="inlineStr">
        <is>
          <t>Dining Out</t>
        </is>
      </c>
      <c r="E169" s="16" t="inlineStr">
        <is>
          <t>Apr 2026</t>
        </is>
      </c>
    </row>
    <row r="170">
      <c r="A170" s="15" t="n">
        <v>46129</v>
      </c>
      <c r="B170" s="16" t="inlineStr">
        <is>
          <t>TST* VELVET TACO - HHOUSTON TX</t>
        </is>
      </c>
      <c r="C170" s="17" t="n">
        <v>18.39</v>
      </c>
      <c r="D170" s="16" t="inlineStr">
        <is>
          <t>Dining Out</t>
        </is>
      </c>
      <c r="E170" s="16" t="inlineStr">
        <is>
          <t>Apr 2026</t>
        </is>
      </c>
    </row>
    <row r="171">
      <c r="A171" s="15" t="n">
        <v>46130</v>
      </c>
      <c r="B171" s="16" t="inlineStr">
        <is>
          <t>GOOGLE *YOUTUBEPREMI G.CO/HELPPAY# CA</t>
        </is>
      </c>
      <c r="C171" s="17" t="n">
        <v>15.14</v>
      </c>
      <c r="D171" s="16" t="inlineStr">
        <is>
          <t>Subscriptions</t>
        </is>
      </c>
      <c r="E171" s="16" t="inlineStr">
        <is>
          <t>Apr 2026</t>
        </is>
      </c>
    </row>
    <row r="172">
      <c r="A172" s="15" t="n">
        <v>46130</v>
      </c>
      <c r="B172" s="16" t="inlineStr">
        <is>
          <t>NIDDA THAI CUISINE HOUSTON TX</t>
        </is>
      </c>
      <c r="C172" s="17" t="n">
        <v>71.88</v>
      </c>
      <c r="D172" s="16" t="inlineStr">
        <is>
          <t>Dining Out</t>
        </is>
      </c>
      <c r="E172" s="16" t="inlineStr">
        <is>
          <t>Apr 2026</t>
        </is>
      </c>
    </row>
    <row r="173">
      <c r="A173" s="15" t="n">
        <v>46130</v>
      </c>
      <c r="B173" s="16" t="inlineStr">
        <is>
          <t>Platinum Digital Entertainment Credit</t>
        </is>
      </c>
      <c r="C173" s="17" t="n">
        <v>-15.14</v>
      </c>
      <c r="D173" s="16" t="inlineStr">
        <is>
          <t>Subscriptions</t>
        </is>
      </c>
      <c r="E173" s="16" t="inlineStr">
        <is>
          <t>Apr 2026</t>
        </is>
      </c>
    </row>
    <row r="174">
      <c r="A174" s="15" t="n">
        <v>46130</v>
      </c>
      <c r="B174" s="16" t="inlineStr">
        <is>
          <t>TST* HASHTAG INDIA -CYPRESS TX</t>
        </is>
      </c>
      <c r="C174" s="17" t="n">
        <v>34.61</v>
      </c>
      <c r="D174" s="16" t="inlineStr">
        <is>
          <t>Dining Out</t>
        </is>
      </c>
      <c r="E174" s="16" t="inlineStr">
        <is>
          <t>Apr 2026</t>
        </is>
      </c>
    </row>
    <row r="175">
      <c r="A175" s="15" t="n">
        <v>46131</v>
      </c>
      <c r="B175" s="16" t="inlineStr">
        <is>
          <t>ACADEMY SPORTS #33 0KATY TX</t>
        </is>
      </c>
      <c r="C175" s="17" t="n">
        <v>102.82</v>
      </c>
      <c r="D175" s="16" t="inlineStr">
        <is>
          <t>Shopping</t>
        </is>
      </c>
      <c r="E175" s="16" t="inlineStr">
        <is>
          <t>Apr 2026</t>
        </is>
      </c>
    </row>
    <row r="176">
      <c r="A176" s="15" t="n">
        <v>46131</v>
      </c>
      <c r="B176" s="16" t="inlineStr">
        <is>
          <t>TARGET 028829KATY TX</t>
        </is>
      </c>
      <c r="C176" s="17" t="n">
        <v>30.3</v>
      </c>
      <c r="D176" s="16" t="inlineStr">
        <is>
          <t>Shopping</t>
        </is>
      </c>
      <c r="E176" s="16" t="inlineStr">
        <is>
          <t>Apr 2026</t>
        </is>
      </c>
    </row>
    <row r="177">
      <c r="A177" s="15" t="n">
        <v>46133</v>
      </c>
      <c r="B177" s="16" t="inlineStr">
        <is>
          <t>AplPay CHICK-FIL-A #CYPRESS TX</t>
        </is>
      </c>
      <c r="C177" s="17" t="n">
        <v>12.28</v>
      </c>
      <c r="D177" s="16" t="inlineStr">
        <is>
          <t>Dining Out</t>
        </is>
      </c>
      <c r="E177" s="16" t="inlineStr">
        <is>
          <t>Apr 2026</t>
        </is>
      </c>
    </row>
    <row r="178">
      <c r="A178" s="15" t="n">
        <v>46133</v>
      </c>
      <c r="B178" s="16" t="inlineStr">
        <is>
          <t>H-E-B #709 000000000CYPRESS TX</t>
        </is>
      </c>
      <c r="C178" s="17" t="n">
        <v>50.77</v>
      </c>
      <c r="D178" s="16" t="inlineStr">
        <is>
          <t>Groceries</t>
        </is>
      </c>
      <c r="E178" s="16" t="inlineStr">
        <is>
          <t>Apr 2026</t>
        </is>
      </c>
    </row>
    <row r="179">
      <c r="A179" s="15" t="n">
        <v>46133</v>
      </c>
      <c r="B179" s="16" t="inlineStr">
        <is>
          <t>TST* HASHTAG INDIA -CYPRESS TX</t>
        </is>
      </c>
      <c r="C179" s="17" t="n">
        <v>11.32</v>
      </c>
      <c r="D179" s="16" t="inlineStr">
        <is>
          <t>Dining Out</t>
        </is>
      </c>
      <c r="E179" s="16" t="inlineStr">
        <is>
          <t>Apr 2026</t>
        </is>
      </c>
    </row>
    <row r="180">
      <c r="A180" s="15" t="n">
        <v>46134</v>
      </c>
      <c r="B180" s="16" t="inlineStr">
        <is>
          <t>CONNIE S FROZEN CUSTCYPRESS TX</t>
        </is>
      </c>
      <c r="C180" s="17" t="n">
        <v>7.18</v>
      </c>
      <c r="D180" s="16" t="inlineStr">
        <is>
          <t>Dining Out</t>
        </is>
      </c>
      <c r="E180" s="16" t="inlineStr">
        <is>
          <t>Apr 2026</t>
        </is>
      </c>
    </row>
    <row r="181">
      <c r="A181" s="15" t="n">
        <v>46135</v>
      </c>
      <c r="B181" s="16" t="inlineStr">
        <is>
          <t>AplPay HASHTAGINDIA.MCKINNEY TX</t>
        </is>
      </c>
      <c r="C181" s="17" t="n">
        <v>19.97</v>
      </c>
      <c r="D181" s="16" t="inlineStr">
        <is>
          <t>Dining Out</t>
        </is>
      </c>
      <c r="E181" s="16" t="inlineStr">
        <is>
          <t>Apr 2026</t>
        </is>
      </c>
    </row>
    <row r="182">
      <c r="A182" s="15" t="n">
        <v>46135</v>
      </c>
      <c r="B182" s="16" t="inlineStr">
        <is>
          <t>CYPRESS FAIRBANKS (PCYPRESS TX</t>
        </is>
      </c>
      <c r="C182" s="17" t="n">
        <v>10</v>
      </c>
      <c r="D182" s="16" t="inlineStr">
        <is>
          <t>Miscellaneous</t>
        </is>
      </c>
      <c r="E182" s="16" t="inlineStr">
        <is>
          <t>Apr 2026</t>
        </is>
      </c>
    </row>
    <row r="183">
      <c r="A183" s="15" t="n">
        <v>46135</v>
      </c>
      <c r="B183" s="16" t="inlineStr">
        <is>
          <t>H-E-B #709 000000000CYPRESS TX</t>
        </is>
      </c>
      <c r="C183" s="17" t="n">
        <v>20.47</v>
      </c>
      <c r="D183" s="16" t="inlineStr">
        <is>
          <t>Groceries</t>
        </is>
      </c>
      <c r="E183" s="16" t="inlineStr">
        <is>
          <t>Apr 2026</t>
        </is>
      </c>
    </row>
    <row r="184">
      <c r="A184" s="15" t="n">
        <v>46135</v>
      </c>
      <c r="B184" s="16" t="inlineStr">
        <is>
          <t>TST* HASHTAG INDIA -CYPRESS TX</t>
        </is>
      </c>
      <c r="C184" s="17" t="n">
        <v>1.08</v>
      </c>
      <c r="D184" s="16" t="inlineStr">
        <is>
          <t>Dining Out</t>
        </is>
      </c>
      <c r="E184" s="16" t="inlineStr">
        <is>
          <t>Apr 2026</t>
        </is>
      </c>
    </row>
    <row r="185">
      <c r="A185" s="15" t="n">
        <v>46136</v>
      </c>
      <c r="B185" s="16" t="inlineStr">
        <is>
          <t>AplPay UBER ONE MEMBHTTPS://HELP.UBER.CONL</t>
        </is>
      </c>
      <c r="C185" s="17" t="n">
        <v>7.02</v>
      </c>
      <c r="D185" s="16" t="inlineStr">
        <is>
          <t>Subscriptions</t>
        </is>
      </c>
      <c r="E185" s="16" t="inlineStr">
        <is>
          <t>Apr 2026</t>
        </is>
      </c>
    </row>
    <row r="186">
      <c r="A186" s="15" t="n">
        <v>46136</v>
      </c>
      <c r="B186" s="16" t="inlineStr">
        <is>
          <t>CBA MIRAMESA CYPRESS TX</t>
        </is>
      </c>
      <c r="C186" s="17" t="n">
        <v>18.5</v>
      </c>
      <c r="D186" s="16" t="inlineStr">
        <is>
          <t>Miscellaneous</t>
        </is>
      </c>
      <c r="E186" s="16" t="inlineStr">
        <is>
          <t>Apr 2026</t>
        </is>
      </c>
    </row>
    <row r="187">
      <c r="A187" s="15" t="n">
        <v>46136</v>
      </c>
      <c r="B187" s="16" t="inlineStr">
        <is>
          <t>CVS/PHARMACY #10602 CYPRESS TX</t>
        </is>
      </c>
      <c r="C187" s="17" t="n">
        <v>19.36</v>
      </c>
      <c r="D187" s="16" t="inlineStr">
        <is>
          <t>Health &amp; Fitness</t>
        </is>
      </c>
      <c r="E187" s="16" t="inlineStr">
        <is>
          <t>Apr 2026</t>
        </is>
      </c>
    </row>
    <row r="188">
      <c r="A188" s="15" t="n">
        <v>46136</v>
      </c>
      <c r="B188" s="16" t="inlineStr">
        <is>
          <t>HCTRA EZ TAG REBILL HOUSTON TX</t>
        </is>
      </c>
      <c r="C188" s="17" t="n">
        <v>40</v>
      </c>
      <c r="D188" s="16" t="inlineStr">
        <is>
          <t>Gas / Transit</t>
        </is>
      </c>
      <c r="E188" s="16" t="inlineStr">
        <is>
          <t>Apr 2026</t>
        </is>
      </c>
    </row>
    <row r="189">
      <c r="A189" s="15" t="n">
        <v>46136</v>
      </c>
      <c r="B189" s="16" t="inlineStr">
        <is>
          <t>IBC MEAT &amp; SEAFOOD KATY TX</t>
        </is>
      </c>
      <c r="C189" s="17" t="n">
        <v>17.79</v>
      </c>
      <c r="D189" s="16" t="inlineStr">
        <is>
          <t>Groceries</t>
        </is>
      </c>
      <c r="E189" s="16" t="inlineStr">
        <is>
          <t>Apr 2026</t>
        </is>
      </c>
    </row>
    <row r="190">
      <c r="A190" s="15" t="n">
        <v>46136</v>
      </c>
      <c r="B190" s="16" t="inlineStr">
        <is>
          <t>RAISING CANES 0587 CYPRESS TX</t>
        </is>
      </c>
      <c r="C190" s="17" t="n">
        <v>10.38</v>
      </c>
      <c r="D190" s="16" t="inlineStr">
        <is>
          <t>Dining Out</t>
        </is>
      </c>
      <c r="E190" s="16" t="inlineStr">
        <is>
          <t>Apr 2026</t>
        </is>
      </c>
    </row>
    <row r="191">
      <c r="A191" s="15" t="n">
        <v>46136</v>
      </c>
      <c r="B191" s="16" t="inlineStr">
        <is>
          <t>TRIVENI SUPERMARKET KATY TX</t>
        </is>
      </c>
      <c r="C191" s="17" t="n">
        <v>34.64</v>
      </c>
      <c r="D191" s="16" t="inlineStr">
        <is>
          <t>Groceries</t>
        </is>
      </c>
      <c r="E191" s="16" t="inlineStr">
        <is>
          <t>Apr 2026</t>
        </is>
      </c>
    </row>
    <row r="192">
      <c r="A192" s="15" t="n">
        <v>46137</v>
      </c>
      <c r="B192" s="16" t="inlineStr">
        <is>
          <t>KILWINS - CYPRESS TXCYPRESS TX</t>
        </is>
      </c>
      <c r="C192" s="17" t="n">
        <v>12.16</v>
      </c>
      <c r="D192" s="16" t="inlineStr">
        <is>
          <t>Dining Out</t>
        </is>
      </c>
      <c r="E192" s="16" t="inlineStr">
        <is>
          <t>Apr 2026</t>
        </is>
      </c>
    </row>
    <row r="193">
      <c r="A193" s="15" t="n">
        <v>46137</v>
      </c>
      <c r="B193" s="16" t="inlineStr">
        <is>
          <t>SHELL 12661753009/SHKATY TX</t>
        </is>
      </c>
      <c r="C193" s="17" t="n">
        <v>10.49</v>
      </c>
      <c r="D193" s="16" t="inlineStr">
        <is>
          <t>Gas / Transit</t>
        </is>
      </c>
      <c r="E193" s="16" t="inlineStr">
        <is>
          <t>Apr 2026</t>
        </is>
      </c>
    </row>
    <row r="194">
      <c r="A194" s="15" t="n">
        <v>46137</v>
      </c>
      <c r="B194" s="16" t="inlineStr">
        <is>
          <t>TST* ALINGS CHINESE SUGAR LAND TX</t>
        </is>
      </c>
      <c r="C194" s="17" t="n">
        <v>73.90000000000001</v>
      </c>
      <c r="D194" s="16" t="inlineStr">
        <is>
          <t>Dining Out</t>
        </is>
      </c>
      <c r="E194" s="16" t="inlineStr">
        <is>
          <t>Apr 2026</t>
        </is>
      </c>
    </row>
    <row r="195">
      <c r="A195" s="15" t="n">
        <v>46138</v>
      </c>
      <c r="B195" s="16" t="inlineStr">
        <is>
          <t>AMAZON MARKEPLACE NA PA</t>
        </is>
      </c>
      <c r="C195" s="17" t="n">
        <v>21.35</v>
      </c>
      <c r="D195" s="16" t="inlineStr">
        <is>
          <t>Shopping</t>
        </is>
      </c>
      <c r="E195" s="16" t="inlineStr">
        <is>
          <t>Apr 2026</t>
        </is>
      </c>
    </row>
    <row r="196">
      <c r="A196" s="15" t="n">
        <v>46138</v>
      </c>
      <c r="B196" s="16" t="inlineStr">
        <is>
          <t>AMAZON MARKEPLACE NA PA</t>
        </is>
      </c>
      <c r="C196" s="17" t="n">
        <v>27.05</v>
      </c>
      <c r="D196" s="16" t="inlineStr">
        <is>
          <t>Shopping</t>
        </is>
      </c>
      <c r="E196" s="16" t="inlineStr">
        <is>
          <t>Apr 2026</t>
        </is>
      </c>
    </row>
    <row r="197">
      <c r="A197" s="15" t="n">
        <v>46138</v>
      </c>
      <c r="B197" s="16" t="inlineStr">
        <is>
          <t>AplPay DD *DOORDASH SAN FRANCISCO CA</t>
        </is>
      </c>
      <c r="C197" s="17" t="n">
        <v>25</v>
      </c>
      <c r="D197" s="16" t="inlineStr">
        <is>
          <t>Dining Out</t>
        </is>
      </c>
      <c r="E197" s="16" t="inlineStr">
        <is>
          <t>Apr 2026</t>
        </is>
      </c>
    </row>
    <row r="198">
      <c r="A198" s="15" t="n">
        <v>46138</v>
      </c>
      <c r="B198" s="16" t="inlineStr">
        <is>
          <t>TST* HASHTAG INDIA -CYPRESS TX</t>
        </is>
      </c>
      <c r="C198" s="17" t="n">
        <v>2.15</v>
      </c>
      <c r="D198" s="16" t="inlineStr">
        <is>
          <t>Dining Out</t>
        </is>
      </c>
      <c r="E198" s="16" t="inlineStr">
        <is>
          <t>Apr 2026</t>
        </is>
      </c>
    </row>
    <row r="199">
      <c r="A199" s="15" t="n">
        <v>46140</v>
      </c>
      <c r="B199" s="16" t="inlineStr">
        <is>
          <t>AMERICAN EXPRESS TVLPHOENIX AZ</t>
        </is>
      </c>
      <c r="C199" s="17" t="n">
        <v>297.7</v>
      </c>
      <c r="D199" s="16" t="inlineStr">
        <is>
          <t>Travel</t>
        </is>
      </c>
      <c r="E199" s="16" t="inlineStr">
        <is>
          <t>Apr 2026</t>
        </is>
      </c>
    </row>
    <row r="200">
      <c r="A200" s="15" t="n">
        <v>46140</v>
      </c>
      <c r="B200" s="16" t="inlineStr">
        <is>
          <t>AMERICAN EXPRESS TVLPHOENIX AZ</t>
        </is>
      </c>
      <c r="C200" s="17" t="n">
        <v>297.7</v>
      </c>
      <c r="D200" s="16" t="inlineStr">
        <is>
          <t>Travel</t>
        </is>
      </c>
      <c r="E200" s="16" t="inlineStr">
        <is>
          <t>Apr 2026</t>
        </is>
      </c>
    </row>
    <row r="201">
      <c r="A201" s="15" t="n">
        <v>46140</v>
      </c>
      <c r="B201" s="16" t="inlineStr">
        <is>
          <t>AMERICAN EXPRESS TVLPHOENIX AZ</t>
        </is>
      </c>
      <c r="C201" s="17" t="n">
        <v>297.7</v>
      </c>
      <c r="D201" s="16" t="inlineStr">
        <is>
          <t>Travel</t>
        </is>
      </c>
      <c r="E201" s="16" t="inlineStr">
        <is>
          <t>Apr 2026</t>
        </is>
      </c>
    </row>
    <row r="202">
      <c r="A202" s="15" t="n">
        <v>46140</v>
      </c>
      <c r="B202" s="16" t="inlineStr">
        <is>
          <t>AplPay HASHTAGINDIA.MCKINNEY TX</t>
        </is>
      </c>
      <c r="C202" s="17" t="n">
        <v>23.21</v>
      </c>
      <c r="D202" s="16" t="inlineStr">
        <is>
          <t>Dining Out</t>
        </is>
      </c>
      <c r="E202" s="16" t="inlineStr">
        <is>
          <t>Apr 2026</t>
        </is>
      </c>
    </row>
    <row r="203">
      <c r="A203" s="15" t="n">
        <v>46140</v>
      </c>
      <c r="B203" s="16" t="inlineStr">
        <is>
          <t>MOBILE PAYMENT - THANK YOU</t>
        </is>
      </c>
      <c r="C203" s="17" t="n">
        <v>-1968.13</v>
      </c>
      <c r="D203" s="16" t="inlineStr">
        <is>
          <t>Payments &amp; Adjustments</t>
        </is>
      </c>
      <c r="E203" s="16" t="inlineStr">
        <is>
          <t>Apr 2026</t>
        </is>
      </c>
    </row>
    <row r="204">
      <c r="A204" s="15" t="n">
        <v>46141</v>
      </c>
      <c r="B204" s="16" t="inlineStr">
        <is>
          <t>CHIPOTLE 4814 4814 CYPRESS TX</t>
        </is>
      </c>
      <c r="C204" s="17" t="n">
        <v>14.51</v>
      </c>
      <c r="D204" s="16" t="inlineStr">
        <is>
          <t>Dining Out</t>
        </is>
      </c>
      <c r="E204" s="16" t="inlineStr">
        <is>
          <t>Apr 2026</t>
        </is>
      </c>
    </row>
    <row r="205">
      <c r="A205" s="15" t="n">
        <v>46142</v>
      </c>
      <c r="B205" s="16" t="inlineStr">
        <is>
          <t>AMAZON MARKEPLACE NA PA</t>
        </is>
      </c>
      <c r="C205" s="17" t="n">
        <v>31.86</v>
      </c>
      <c r="D205" s="16" t="inlineStr">
        <is>
          <t>Shopping</t>
        </is>
      </c>
      <c r="E205" s="16" t="inlineStr">
        <is>
          <t>Apr 2026</t>
        </is>
      </c>
    </row>
    <row r="206">
      <c r="A206" s="15" t="n">
        <v>46142</v>
      </c>
      <c r="B206" s="16" t="inlineStr">
        <is>
          <t>HARRIS VEHREG 131010HOUSTON TX</t>
        </is>
      </c>
      <c r="C206" s="17" t="n">
        <v>76.25</v>
      </c>
      <c r="D206" s="16" t="inlineStr">
        <is>
          <t>Gas / Transit</t>
        </is>
      </c>
      <c r="E206" s="16" t="inlineStr">
        <is>
          <t>Apr 2026</t>
        </is>
      </c>
    </row>
    <row r="207">
      <c r="A207" s="15" t="n">
        <v>46142</v>
      </c>
      <c r="B207" s="16" t="inlineStr">
        <is>
          <t>HARRIS VEHREG 131010HOUSTON TX</t>
        </is>
      </c>
      <c r="C207" s="17" t="n">
        <v>273.5</v>
      </c>
      <c r="D207" s="16" t="inlineStr">
        <is>
          <t>Gas / Transit</t>
        </is>
      </c>
      <c r="E207" s="16" t="inlineStr">
        <is>
          <t>Apr 2026</t>
        </is>
      </c>
    </row>
    <row r="208">
      <c r="A208" s="15" t="n">
        <v>46142</v>
      </c>
      <c r="B208" s="16" t="inlineStr">
        <is>
          <t>TEXAS.GOV*SERVICEFEEAUSTIN TX</t>
        </is>
      </c>
      <c r="C208" s="17" t="n">
        <v>2</v>
      </c>
      <c r="D208" s="16" t="inlineStr">
        <is>
          <t>Gas / Transit</t>
        </is>
      </c>
      <c r="E208" s="16" t="inlineStr">
        <is>
          <t>Apr 2026</t>
        </is>
      </c>
    </row>
    <row r="209">
      <c r="A209" s="15" t="n">
        <v>46142</v>
      </c>
      <c r="B209" s="16" t="inlineStr">
        <is>
          <t>TEXAS.GOV*SERVICEFEEAUSTIN TX</t>
        </is>
      </c>
      <c r="C209" s="17" t="n">
        <v>2</v>
      </c>
      <c r="D209" s="16" t="inlineStr">
        <is>
          <t>Gas / Transit</t>
        </is>
      </c>
      <c r="E209" s="16" t="inlineStr">
        <is>
          <t>Apr 2026</t>
        </is>
      </c>
    </row>
    <row r="210">
      <c r="A210" s="15" t="n">
        <v>46142</v>
      </c>
      <c r="B210" s="16" t="inlineStr">
        <is>
          <t>TST* HASHTAG INDIA -CYPRESS TX</t>
        </is>
      </c>
      <c r="C210" s="17" t="n">
        <v>2.15</v>
      </c>
      <c r="D210" s="16" t="inlineStr">
        <is>
          <t>Dining Out</t>
        </is>
      </c>
      <c r="E210" s="16" t="inlineStr">
        <is>
          <t>Apr 2026</t>
        </is>
      </c>
    </row>
    <row r="211">
      <c r="A211" s="15" t="n">
        <v>46143</v>
      </c>
      <c r="B211" s="16" t="inlineStr">
        <is>
          <t>AplPay CHICK-FIL-A #CYPRESS TX</t>
        </is>
      </c>
      <c r="C211" s="17" t="n">
        <v>11.46</v>
      </c>
      <c r="D211" s="16" t="inlineStr">
        <is>
          <t>Dining Out</t>
        </is>
      </c>
      <c r="E211" s="16" t="inlineStr">
        <is>
          <t>May 2026</t>
        </is>
      </c>
    </row>
    <row r="212">
      <c r="A212" s="15" t="n">
        <v>46144</v>
      </c>
      <c r="B212" s="16" t="inlineStr">
        <is>
          <t>AplPay WINGSTOP 1556CYPRESS TX</t>
        </is>
      </c>
      <c r="C212" s="17" t="n">
        <v>16.65</v>
      </c>
      <c r="D212" s="16" t="inlineStr">
        <is>
          <t>Dining Out</t>
        </is>
      </c>
      <c r="E212" s="16" t="inlineStr">
        <is>
          <t>May 2026</t>
        </is>
      </c>
    </row>
    <row r="213">
      <c r="A213" s="15" t="n">
        <v>46144</v>
      </c>
      <c r="B213" s="16" t="inlineStr">
        <is>
          <t>DIL SE INDIAN FOOD TCypress TX</t>
        </is>
      </c>
      <c r="C213" s="17" t="n">
        <v>28.12</v>
      </c>
      <c r="D213" s="16" t="inlineStr">
        <is>
          <t>Dining Out</t>
        </is>
      </c>
      <c r="E213" s="16" t="inlineStr">
        <is>
          <t>May 2026</t>
        </is>
      </c>
    </row>
    <row r="214">
      <c r="A214" s="15" t="n">
        <v>46144</v>
      </c>
      <c r="B214" s="16" t="inlineStr">
        <is>
          <t>MONKS INDIAN BISTRO CYPRESS TX</t>
        </is>
      </c>
      <c r="C214" s="17" t="n">
        <v>41.14</v>
      </c>
      <c r="D214" s="16" t="inlineStr">
        <is>
          <t>Dining Out</t>
        </is>
      </c>
      <c r="E214" s="16" t="inlineStr">
        <is>
          <t>May 2026</t>
        </is>
      </c>
    </row>
    <row r="215">
      <c r="A215" s="15" t="n">
        <v>46145</v>
      </c>
      <c r="B215" s="16" t="inlineStr">
        <is>
          <t>AplPay OLIVE GARDEN CYPRESS TX</t>
        </is>
      </c>
      <c r="C215" s="17" t="n">
        <v>20.79</v>
      </c>
      <c r="D215" s="16" t="inlineStr">
        <is>
          <t>Dining Out</t>
        </is>
      </c>
      <c r="E215" s="16" t="inlineStr">
        <is>
          <t>May 2026</t>
        </is>
      </c>
    </row>
    <row r="216">
      <c r="A216" s="15" t="n">
        <v>46145</v>
      </c>
      <c r="B216" s="16" t="inlineStr">
        <is>
          <t>BASKIN #365105 36510CYPRESS TX</t>
        </is>
      </c>
      <c r="C216" s="17" t="n">
        <v>4.78</v>
      </c>
      <c r="D216" s="16" t="inlineStr">
        <is>
          <t>Dining Out</t>
        </is>
      </c>
      <c r="E216" s="16" t="inlineStr">
        <is>
          <t>May 2026</t>
        </is>
      </c>
    </row>
    <row r="217">
      <c r="A217" s="15" t="n">
        <v>46145</v>
      </c>
      <c r="B217" s="16" t="inlineStr">
        <is>
          <t>TRIVENI SUPERMARKET KATY TX</t>
        </is>
      </c>
      <c r="C217" s="17" t="n">
        <v>45.6</v>
      </c>
      <c r="D217" s="16" t="inlineStr">
        <is>
          <t>Groceries</t>
        </is>
      </c>
      <c r="E217" s="16" t="inlineStr">
        <is>
          <t>May 2026</t>
        </is>
      </c>
    </row>
    <row r="218">
      <c r="A218" s="15" t="n">
        <v>46145</v>
      </c>
      <c r="B218" s="16" t="inlineStr">
        <is>
          <t>TRIVENI SUPERMARKET KATY TX</t>
        </is>
      </c>
      <c r="C218" s="17" t="n">
        <v>47.1</v>
      </c>
      <c r="D218" s="16" t="inlineStr">
        <is>
          <t>Groceries</t>
        </is>
      </c>
      <c r="E218" s="16" t="inlineStr">
        <is>
          <t>May 2026</t>
        </is>
      </c>
    </row>
    <row r="219">
      <c r="A219" s="15" t="n">
        <v>46145</v>
      </c>
      <c r="B219" s="16" t="inlineStr">
        <is>
          <t>TRIVENI SUPERMARKET KATY TX</t>
        </is>
      </c>
      <c r="C219" s="17" t="n">
        <v>94.43000000000001</v>
      </c>
      <c r="D219" s="16" t="inlineStr">
        <is>
          <t>Groceries</t>
        </is>
      </c>
      <c r="E219" s="16" t="inlineStr">
        <is>
          <t>May 2026</t>
        </is>
      </c>
    </row>
    <row r="220">
      <c r="A220" s="15" t="n">
        <v>46146</v>
      </c>
      <c r="B220" s="16" t="inlineStr">
        <is>
          <t>ABERCROMBIE &amp; FITCH KATY TX</t>
        </is>
      </c>
      <c r="C220" s="17" t="n">
        <v>59.48</v>
      </c>
      <c r="D220" s="16" t="inlineStr">
        <is>
          <t>Shopping</t>
        </is>
      </c>
      <c r="E220" s="16" t="inlineStr">
        <is>
          <t>May 2026</t>
        </is>
      </c>
    </row>
    <row r="221">
      <c r="A221" s="15" t="n">
        <v>46146</v>
      </c>
      <c r="B221" s="16" t="inlineStr">
        <is>
          <t>AMAZON MARKEPLACE NA PA</t>
        </is>
      </c>
      <c r="C221" s="17" t="n">
        <v>23.8</v>
      </c>
      <c r="D221" s="16" t="inlineStr">
        <is>
          <t>Shopping</t>
        </is>
      </c>
      <c r="E221" s="16" t="inlineStr">
        <is>
          <t>May 2026</t>
        </is>
      </c>
    </row>
    <row r="222">
      <c r="A222" s="15" t="n">
        <v>46146</v>
      </c>
      <c r="B222" s="16" t="inlineStr">
        <is>
          <t>AMAZON MARKEPLACE NA PA</t>
        </is>
      </c>
      <c r="C222" s="17" t="n">
        <v>25.32</v>
      </c>
      <c r="D222" s="16" t="inlineStr">
        <is>
          <t>Shopping</t>
        </is>
      </c>
      <c r="E222" s="16" t="inlineStr">
        <is>
          <t>May 2026</t>
        </is>
      </c>
    </row>
    <row r="223">
      <c r="A223" s="15" t="n">
        <v>46146</v>
      </c>
      <c r="B223" s="16" t="inlineStr">
        <is>
          <t>AMAZON MARKEPLACE NA PA</t>
        </is>
      </c>
      <c r="C223" s="17" t="n">
        <v>37.73</v>
      </c>
      <c r="D223" s="16" t="inlineStr">
        <is>
          <t>Shopping</t>
        </is>
      </c>
      <c r="E223" s="16" t="inlineStr">
        <is>
          <t>May 2026</t>
        </is>
      </c>
    </row>
    <row r="224">
      <c r="A224" s="15" t="n">
        <v>46146</v>
      </c>
      <c r="B224" s="16" t="inlineStr">
        <is>
          <t>AMAZON.COM AMZN.COM/BILL WA</t>
        </is>
      </c>
      <c r="C224" s="17" t="n">
        <v>6.5</v>
      </c>
      <c r="D224" s="16" t="inlineStr">
        <is>
          <t>Shopping</t>
        </is>
      </c>
      <c r="E224" s="16" t="inlineStr">
        <is>
          <t>May 2026</t>
        </is>
      </c>
    </row>
    <row r="225">
      <c r="A225" s="15" t="n">
        <v>46146</v>
      </c>
      <c r="B225" s="16" t="inlineStr">
        <is>
          <t>AMAZON.COM AMZN.COM/BILL WA</t>
        </is>
      </c>
      <c r="C225" s="17" t="n">
        <v>43.29</v>
      </c>
      <c r="D225" s="16" t="inlineStr">
        <is>
          <t>Shopping</t>
        </is>
      </c>
      <c r="E225" s="16" t="inlineStr">
        <is>
          <t>May 2026</t>
        </is>
      </c>
    </row>
    <row r="226">
      <c r="A226" s="15" t="n">
        <v>46146</v>
      </c>
      <c r="B226" s="16" t="inlineStr">
        <is>
          <t>AMERICAN EAGLE OUTFIPITTSBURGH PA</t>
        </is>
      </c>
      <c r="C226" s="17" t="n">
        <v>76.77</v>
      </c>
      <c r="D226" s="16" t="inlineStr">
        <is>
          <t>Shopping</t>
        </is>
      </c>
      <c r="E226" s="16" t="inlineStr">
        <is>
          <t>May 2026</t>
        </is>
      </c>
    </row>
    <row r="227">
      <c r="A227" s="15" t="n">
        <v>46146</v>
      </c>
      <c r="B227" s="16" t="inlineStr">
        <is>
          <t>GAC 79615 - KATY 000KATY TX</t>
        </is>
      </c>
      <c r="C227" s="17" t="n">
        <v>2.59</v>
      </c>
      <c r="D227" s="16" t="inlineStr">
        <is>
          <t>Miscellaneous</t>
        </is>
      </c>
      <c r="E227" s="16" t="inlineStr">
        <is>
          <t>May 2026</t>
        </is>
      </c>
    </row>
    <row r="228">
      <c r="A228" s="15" t="n">
        <v>46146</v>
      </c>
      <c r="B228" s="16" t="inlineStr">
        <is>
          <t>MOBILE PAYMENT - THANK YOU</t>
        </is>
      </c>
      <c r="C228" s="17" t="n">
        <v>-1436.74</v>
      </c>
      <c r="D228" s="16" t="inlineStr">
        <is>
          <t>Payments &amp; Adjustments</t>
        </is>
      </c>
      <c r="E228" s="16" t="inlineStr">
        <is>
          <t>May 2026</t>
        </is>
      </c>
    </row>
    <row r="229">
      <c r="A229" s="15" t="n">
        <v>46147</v>
      </c>
      <c r="B229" s="16" t="inlineStr">
        <is>
          <t>AMAZON MARKEPLACE NA PA</t>
        </is>
      </c>
      <c r="C229" s="17" t="n">
        <v>14.4</v>
      </c>
      <c r="D229" s="16" t="inlineStr">
        <is>
          <t>Shopping</t>
        </is>
      </c>
      <c r="E229" s="16" t="inlineStr">
        <is>
          <t>May 2026</t>
        </is>
      </c>
    </row>
    <row r="230">
      <c r="A230" s="15" t="n">
        <v>46147</v>
      </c>
      <c r="B230" s="16" t="inlineStr">
        <is>
          <t>AMAZON MARKEPLACE NA PA</t>
        </is>
      </c>
      <c r="C230" s="17" t="n">
        <v>17.46</v>
      </c>
      <c r="D230" s="16" t="inlineStr">
        <is>
          <t>Shopping</t>
        </is>
      </c>
      <c r="E230" s="16" t="inlineStr">
        <is>
          <t>May 2026</t>
        </is>
      </c>
    </row>
    <row r="231">
      <c r="A231" s="15" t="n">
        <v>46147</v>
      </c>
      <c r="B231" s="16" t="inlineStr">
        <is>
          <t>H-E-B #709 000000000CYPRESS TX</t>
        </is>
      </c>
      <c r="C231" s="17" t="n">
        <v>57.24</v>
      </c>
      <c r="D231" s="16" t="inlineStr">
        <is>
          <t>Groceries</t>
        </is>
      </c>
      <c r="E231" s="16" t="inlineStr">
        <is>
          <t>May 2026</t>
        </is>
      </c>
    </row>
    <row r="232">
      <c r="A232" s="15" t="n">
        <v>46147</v>
      </c>
      <c r="B232" s="16" t="inlineStr">
        <is>
          <t>HCTRA EZ TAG REBILL HOUSTON TX</t>
        </is>
      </c>
      <c r="C232" s="17" t="n">
        <v>40</v>
      </c>
      <c r="D232" s="16" t="inlineStr">
        <is>
          <t>Gas / Transit</t>
        </is>
      </c>
      <c r="E232" s="16" t="inlineStr">
        <is>
          <t>May 2026</t>
        </is>
      </c>
    </row>
    <row r="233">
      <c r="A233" s="15" t="n">
        <v>46147</v>
      </c>
      <c r="B233" s="16" t="inlineStr">
        <is>
          <t>THE VOLLEYBALL SCHOOKATY TX</t>
        </is>
      </c>
      <c r="C233" s="17" t="n">
        <v>40</v>
      </c>
      <c r="D233" s="16" t="inlineStr">
        <is>
          <t>Health &amp; Fitness</t>
        </is>
      </c>
      <c r="E233" s="16" t="inlineStr">
        <is>
          <t>May 2026</t>
        </is>
      </c>
    </row>
    <row r="234">
      <c r="A234" s="15" t="n">
        <v>46147</v>
      </c>
      <c r="B234" s="16" t="inlineStr">
        <is>
          <t>TST* HASHTAG INDIA -CYPRESS TX</t>
        </is>
      </c>
      <c r="C234" s="17" t="n">
        <v>1.08</v>
      </c>
      <c r="D234" s="16" t="inlineStr">
        <is>
          <t>Dining Out</t>
        </is>
      </c>
      <c r="E234" s="16" t="inlineStr">
        <is>
          <t>May 2026</t>
        </is>
      </c>
    </row>
    <row r="235">
      <c r="A235" s="15" t="n">
        <v>46147</v>
      </c>
      <c r="B235" s="16" t="inlineStr">
        <is>
          <t>TST* HASHTAG INDIA -CYPRESS TX</t>
        </is>
      </c>
      <c r="C235" s="17" t="n">
        <v>19.46</v>
      </c>
      <c r="D235" s="16" t="inlineStr">
        <is>
          <t>Dining Out</t>
        </is>
      </c>
      <c r="E235" s="16" t="inlineStr">
        <is>
          <t>May 2026</t>
        </is>
      </c>
    </row>
    <row r="236">
      <c r="A236" s="15" t="n">
        <v>46148</v>
      </c>
      <c r="B236" s="16" t="inlineStr">
        <is>
          <t>AMAZON MARKEPLACE NA PA</t>
        </is>
      </c>
      <c r="C236" s="17" t="n">
        <v>20.55</v>
      </c>
      <c r="D236" s="16" t="inlineStr">
        <is>
          <t>Shopping</t>
        </is>
      </c>
      <c r="E236" s="16" t="inlineStr">
        <is>
          <t>May 2026</t>
        </is>
      </c>
    </row>
    <row r="237">
      <c r="A237" s="15" t="n">
        <v>46148</v>
      </c>
      <c r="B237" s="16" t="inlineStr">
        <is>
          <t>AMAZON MARKEPLACE NA PA</t>
        </is>
      </c>
      <c r="C237" s="17" t="n">
        <v>25.65</v>
      </c>
      <c r="D237" s="16" t="inlineStr">
        <is>
          <t>Shopping</t>
        </is>
      </c>
      <c r="E237" s="16" t="inlineStr">
        <is>
          <t>May 2026</t>
        </is>
      </c>
    </row>
    <row r="238">
      <c r="A238" s="15" t="n">
        <v>46148</v>
      </c>
      <c r="B238" s="16" t="inlineStr">
        <is>
          <t>AMAZON MARKEPLACE NA PA</t>
        </is>
      </c>
      <c r="C238" s="17" t="n">
        <v>29.22</v>
      </c>
      <c r="D238" s="16" t="inlineStr">
        <is>
          <t>Shopping</t>
        </is>
      </c>
      <c r="E238" s="16" t="inlineStr">
        <is>
          <t>May 2026</t>
        </is>
      </c>
    </row>
    <row r="239">
      <c r="A239" s="15" t="n">
        <v>46148</v>
      </c>
      <c r="B239" s="16" t="inlineStr">
        <is>
          <t>AplPay CHIPOTLE MEX NEWPORT BEACH CA</t>
        </is>
      </c>
      <c r="C239" s="17" t="n">
        <v>11.1</v>
      </c>
      <c r="D239" s="16" t="inlineStr">
        <is>
          <t>Dining Out</t>
        </is>
      </c>
      <c r="E239" s="16" t="inlineStr">
        <is>
          <t>May 2026</t>
        </is>
      </c>
    </row>
    <row r="240">
      <c r="A240" s="15" t="n">
        <v>46149</v>
      </c>
      <c r="B240" s="16" t="inlineStr">
        <is>
          <t>AMAZON MARKEPLACE NA PA</t>
        </is>
      </c>
      <c r="C240" s="17" t="n">
        <v>32.45</v>
      </c>
      <c r="D240" s="16" t="inlineStr">
        <is>
          <t>Shopping</t>
        </is>
      </c>
      <c r="E240" s="16" t="inlineStr">
        <is>
          <t>May 2026</t>
        </is>
      </c>
    </row>
    <row r="241">
      <c r="A241" s="15" t="n">
        <v>46149</v>
      </c>
      <c r="B241" s="16" t="inlineStr">
        <is>
          <t>AMAZON MARKEPLACE NA PA</t>
        </is>
      </c>
      <c r="C241" s="17" t="n">
        <v>49.77</v>
      </c>
      <c r="D241" s="16" t="inlineStr">
        <is>
          <t>Shopping</t>
        </is>
      </c>
      <c r="E241" s="16" t="inlineStr">
        <is>
          <t>May 2026</t>
        </is>
      </c>
    </row>
    <row r="242">
      <c r="A242" s="15" t="n">
        <v>46149</v>
      </c>
      <c r="B242" s="16" t="inlineStr">
        <is>
          <t>AMAZON.COM AMZN.COM/BILL WA</t>
        </is>
      </c>
      <c r="C242" s="17" t="n">
        <v>7.55</v>
      </c>
      <c r="D242" s="16" t="inlineStr">
        <is>
          <t>Shopping</t>
        </is>
      </c>
      <c r="E242" s="16" t="inlineStr">
        <is>
          <t>May 2026</t>
        </is>
      </c>
    </row>
    <row r="243">
      <c r="A243" s="15" t="n">
        <v>46149</v>
      </c>
      <c r="B243" s="16" t="inlineStr">
        <is>
          <t>AplPay CHUY'S EC 023JERSEY VILLAG TX</t>
        </is>
      </c>
      <c r="C243" s="17" t="n">
        <v>31.3</v>
      </c>
      <c r="D243" s="16" t="inlineStr">
        <is>
          <t>Dining Out</t>
        </is>
      </c>
      <c r="E243" s="16" t="inlineStr">
        <is>
          <t>May 2026</t>
        </is>
      </c>
    </row>
    <row r="244">
      <c r="A244" s="15" t="n">
        <v>46150</v>
      </c>
      <c r="B244" s="16" t="inlineStr">
        <is>
          <t>AMAZON ONEMED 866-216-1072 WA</t>
        </is>
      </c>
      <c r="C244" s="17" t="n">
        <v>29</v>
      </c>
      <c r="D244" s="16" t="inlineStr">
        <is>
          <t>Health &amp; Fitness</t>
        </is>
      </c>
      <c r="E244" s="16" t="inlineStr">
        <is>
          <t>May 2026</t>
        </is>
      </c>
    </row>
    <row r="245">
      <c r="A245" s="15" t="n">
        <v>46150</v>
      </c>
      <c r="B245" s="16" t="inlineStr">
        <is>
          <t>AplPay HASHTAGINDIA.MCKINNEY TX</t>
        </is>
      </c>
      <c r="C245" s="17" t="n">
        <v>13.48</v>
      </c>
      <c r="D245" s="16" t="inlineStr">
        <is>
          <t>Dining Out</t>
        </is>
      </c>
      <c r="E245" s="16" t="inlineStr">
        <is>
          <t>May 2026</t>
        </is>
      </c>
    </row>
    <row r="246">
      <c r="A246" s="15" t="n">
        <v>46150</v>
      </c>
      <c r="B246" s="16" t="inlineStr">
        <is>
          <t>H-E-B #709 000000000CYPRESS TX</t>
        </is>
      </c>
      <c r="C246" s="17" t="n">
        <v>67.23</v>
      </c>
      <c r="D246" s="16" t="inlineStr">
        <is>
          <t>Groceries</t>
        </is>
      </c>
      <c r="E246" s="16" t="inlineStr">
        <is>
          <t>May 2026</t>
        </is>
      </c>
    </row>
    <row r="247">
      <c r="A247" s="15" t="n">
        <v>46150</v>
      </c>
      <c r="B247" s="16" t="inlineStr">
        <is>
          <t>STARBUCKS STORE 7147CYPRESS TX</t>
        </is>
      </c>
      <c r="C247" s="17" t="n">
        <v>13.15</v>
      </c>
      <c r="D247" s="16" t="inlineStr">
        <is>
          <t>Dining Out</t>
        </is>
      </c>
      <c r="E247" s="16" t="inlineStr">
        <is>
          <t>May 2026</t>
        </is>
      </c>
    </row>
    <row r="248">
      <c r="A248" s="15" t="n">
        <v>46150</v>
      </c>
      <c r="B248" s="16" t="inlineStr">
        <is>
          <t>TST* HASHTAG INDIA -CYPRESS TX</t>
        </is>
      </c>
      <c r="C248" s="17" t="n">
        <v>6.48</v>
      </c>
      <c r="D248" s="16" t="inlineStr">
        <is>
          <t>Dining Out</t>
        </is>
      </c>
      <c r="E248" s="16" t="inlineStr">
        <is>
          <t>May 2026</t>
        </is>
      </c>
    </row>
    <row r="249">
      <c r="A249" s="15" t="n">
        <v>46151</v>
      </c>
      <c r="B249" s="16" t="inlineStr">
        <is>
          <t>H-E-B #709 000000000CYPRESS TX</t>
        </is>
      </c>
      <c r="C249" s="17" t="n">
        <v>40.57</v>
      </c>
      <c r="D249" s="16" t="inlineStr">
        <is>
          <t>Groceries</t>
        </is>
      </c>
      <c r="E249" s="16" t="inlineStr">
        <is>
          <t>May 2026</t>
        </is>
      </c>
    </row>
    <row r="250">
      <c r="A250" s="15" t="n">
        <v>46151</v>
      </c>
      <c r="B250" s="16" t="inlineStr">
        <is>
          <t>P.F.CHANG'S 9994 POHOUSTON TX</t>
        </is>
      </c>
      <c r="C250" s="17" t="n">
        <v>84.48999999999999</v>
      </c>
      <c r="D250" s="16" t="inlineStr">
        <is>
          <t>Dining Out</t>
        </is>
      </c>
      <c r="E250" s="16" t="inlineStr">
        <is>
          <t>May 2026</t>
        </is>
      </c>
    </row>
    <row r="251">
      <c r="A251" s="15" t="n">
        <v>46152</v>
      </c>
      <c r="B251" s="16" t="inlineStr">
        <is>
          <t>AplPay HASHTAGINDIA.MCKINNEY TX</t>
        </is>
      </c>
      <c r="C251" s="17" t="n">
        <v>33.05</v>
      </c>
      <c r="D251" s="16" t="inlineStr">
        <is>
          <t>Dining Out</t>
        </is>
      </c>
      <c r="E251" s="16" t="inlineStr">
        <is>
          <t>May 2026</t>
        </is>
      </c>
    </row>
    <row r="252">
      <c r="A252" s="15" t="n">
        <v>46152</v>
      </c>
      <c r="B252" s="16" t="inlineStr">
        <is>
          <t>TRIVENI SUPERMARKET KATY TX</t>
        </is>
      </c>
      <c r="C252" s="17" t="n">
        <v>55.2</v>
      </c>
      <c r="D252" s="16" t="inlineStr">
        <is>
          <t>Groceries</t>
        </is>
      </c>
      <c r="E252" s="16" t="inlineStr">
        <is>
          <t>May 2026</t>
        </is>
      </c>
    </row>
    <row r="253">
      <c r="A253" s="15" t="n">
        <v>46152</v>
      </c>
      <c r="B253" s="16" t="inlineStr">
        <is>
          <t>TRIVENI SUPERMARKET KATY TX</t>
        </is>
      </c>
      <c r="C253" s="17" t="n">
        <v>80.7</v>
      </c>
      <c r="D253" s="16" t="inlineStr">
        <is>
          <t>Groceries</t>
        </is>
      </c>
      <c r="E253" s="16" t="inlineStr">
        <is>
          <t>May 2026</t>
        </is>
      </c>
    </row>
    <row r="254">
      <c r="A254" s="15" t="n">
        <v>46152</v>
      </c>
      <c r="B254" s="16" t="inlineStr">
        <is>
          <t>WAL-MART SUPERCENTERKATY TX</t>
        </is>
      </c>
      <c r="C254" s="17" t="n">
        <v>24.77</v>
      </c>
      <c r="D254" s="16" t="inlineStr">
        <is>
          <t>Groceries</t>
        </is>
      </c>
      <c r="E254" s="16" t="inlineStr">
        <is>
          <t>May 2026</t>
        </is>
      </c>
    </row>
    <row r="255">
      <c r="A255" s="15" t="n">
        <v>46153</v>
      </c>
      <c r="B255" s="16" t="inlineStr">
        <is>
          <t>0570 GREAT CLIPS AT CYPRESS TX</t>
        </is>
      </c>
      <c r="C255" s="17" t="n">
        <v>11.99</v>
      </c>
      <c r="D255" s="16" t="inlineStr">
        <is>
          <t>Personal Care</t>
        </is>
      </c>
      <c r="E255" s="16" t="inlineStr">
        <is>
          <t>May 2026</t>
        </is>
      </c>
    </row>
    <row r="256">
      <c r="A256" s="15" t="n">
        <v>46154</v>
      </c>
      <c r="B256" s="16" t="inlineStr">
        <is>
          <t>AplPay CHIPOTLE MEX NEWPORT BEACH CA</t>
        </is>
      </c>
      <c r="C256" s="17" t="n">
        <v>11.1</v>
      </c>
      <c r="D256" s="16" t="inlineStr">
        <is>
          <t>Dining Out</t>
        </is>
      </c>
      <c r="E256" s="16" t="inlineStr">
        <is>
          <t>May 2026</t>
        </is>
      </c>
    </row>
    <row r="257">
      <c r="A257" s="15" t="n">
        <v>46154</v>
      </c>
      <c r="B257" s="16" t="inlineStr">
        <is>
          <t>H-E-B #709 000000000CYPRESS TX</t>
        </is>
      </c>
      <c r="C257" s="17" t="n">
        <v>-50.61</v>
      </c>
      <c r="D257" s="16" t="inlineStr">
        <is>
          <t>Groceries</t>
        </is>
      </c>
      <c r="E257" s="16" t="inlineStr">
        <is>
          <t>May 2026</t>
        </is>
      </c>
    </row>
    <row r="258">
      <c r="A258" s="15" t="n">
        <v>46154</v>
      </c>
      <c r="B258" s="16" t="inlineStr">
        <is>
          <t>H-E-B #709 000000000CYPRESS TX</t>
        </is>
      </c>
      <c r="C258" s="17" t="n">
        <v>50.61</v>
      </c>
      <c r="D258" s="16" t="inlineStr">
        <is>
          <t>Groceries</t>
        </is>
      </c>
      <c r="E258" s="16" t="inlineStr">
        <is>
          <t>May 2026</t>
        </is>
      </c>
    </row>
    <row r="259">
      <c r="A259" s="15" t="n">
        <v>46154</v>
      </c>
      <c r="B259" s="16" t="inlineStr">
        <is>
          <t>H-E-B #709 000000000CYPRESS TX</t>
        </is>
      </c>
      <c r="C259" s="17" t="n">
        <v>50.61</v>
      </c>
      <c r="D259" s="16" t="inlineStr">
        <is>
          <t>Groceries</t>
        </is>
      </c>
      <c r="E259" s="16" t="inlineStr">
        <is>
          <t>May 2026</t>
        </is>
      </c>
    </row>
    <row r="260">
      <c r="A260" s="15" t="n">
        <v>46154</v>
      </c>
      <c r="B260" s="16" t="inlineStr">
        <is>
          <t>HIMALYA BAZAAR CYPRESS TX</t>
        </is>
      </c>
      <c r="C260" s="17" t="n">
        <v>3</v>
      </c>
      <c r="D260" s="16" t="inlineStr">
        <is>
          <t>Groceries</t>
        </is>
      </c>
      <c r="E260" s="16" t="inlineStr">
        <is>
          <t>May 2026</t>
        </is>
      </c>
    </row>
    <row r="261">
      <c r="A261" s="15" t="n">
        <v>46154</v>
      </c>
      <c r="B261" s="16" t="inlineStr">
        <is>
          <t>MOBILE PAYMENT - THANK YOU</t>
        </is>
      </c>
      <c r="C261" s="17" t="n">
        <v>-1092.35</v>
      </c>
      <c r="D261" s="16" t="inlineStr">
        <is>
          <t>Payments &amp; Adjustments</t>
        </is>
      </c>
      <c r="E261" s="16" t="inlineStr">
        <is>
          <t>May 2026</t>
        </is>
      </c>
    </row>
    <row r="262">
      <c r="A262" s="15" t="n">
        <v>46155</v>
      </c>
      <c r="B262" s="16" t="inlineStr">
        <is>
          <t>AMAZON MARKEPLACE NA PA</t>
        </is>
      </c>
      <c r="C262" s="17" t="n">
        <v>32.46</v>
      </c>
      <c r="D262" s="16" t="inlineStr">
        <is>
          <t>Shopping</t>
        </is>
      </c>
      <c r="E262" s="16" t="inlineStr">
        <is>
          <t>May 2026</t>
        </is>
      </c>
    </row>
    <row r="263">
      <c r="A263" s="15" t="n">
        <v>46155</v>
      </c>
      <c r="B263" s="16" t="inlineStr">
        <is>
          <t>AMAZON MARKEPLACE NA PA</t>
        </is>
      </c>
      <c r="C263" s="17" t="n">
        <v>40.03</v>
      </c>
      <c r="D263" s="16" t="inlineStr">
        <is>
          <t>Shopping</t>
        </is>
      </c>
      <c r="E263" s="16" t="inlineStr">
        <is>
          <t>May 2026</t>
        </is>
      </c>
    </row>
    <row r="264">
      <c r="A264" s="15" t="n">
        <v>46156</v>
      </c>
      <c r="B264" s="16" t="inlineStr">
        <is>
          <t>AMAZON MARKEPLACE NA PA</t>
        </is>
      </c>
      <c r="C264" s="17" t="n">
        <v>7.03</v>
      </c>
      <c r="D264" s="16" t="inlineStr">
        <is>
          <t>Shopping</t>
        </is>
      </c>
      <c r="E264" s="16" t="inlineStr">
        <is>
          <t>May 2026</t>
        </is>
      </c>
    </row>
    <row r="265">
      <c r="A265" s="15" t="n">
        <v>46156</v>
      </c>
      <c r="B265" s="16" t="inlineStr">
        <is>
          <t>AMAZON MARKEPLACE NA PA</t>
        </is>
      </c>
      <c r="C265" s="17" t="n">
        <v>8.65</v>
      </c>
      <c r="D265" s="16" t="inlineStr">
        <is>
          <t>Shopping</t>
        </is>
      </c>
      <c r="E265" s="16" t="inlineStr">
        <is>
          <t>May 2026</t>
        </is>
      </c>
    </row>
    <row r="266">
      <c r="A266" s="15" t="n">
        <v>46156</v>
      </c>
      <c r="B266" s="16" t="inlineStr">
        <is>
          <t>AMAZON MARKEPLACE NA PA</t>
        </is>
      </c>
      <c r="C266" s="17" t="n">
        <v>16.23</v>
      </c>
      <c r="D266" s="16" t="inlineStr">
        <is>
          <t>Shopping</t>
        </is>
      </c>
      <c r="E266" s="16" t="inlineStr">
        <is>
          <t>May 2026</t>
        </is>
      </c>
    </row>
    <row r="267">
      <c r="A267" s="15" t="n">
        <v>46156</v>
      </c>
      <c r="B267" s="16" t="inlineStr">
        <is>
          <t>AMAZON.COM AMZN.COM/BILL WA</t>
        </is>
      </c>
      <c r="C267" s="17" t="n">
        <v>3.08</v>
      </c>
      <c r="D267" s="16" t="inlineStr">
        <is>
          <t>Shopping</t>
        </is>
      </c>
      <c r="E267" s="16" t="inlineStr">
        <is>
          <t>May 2026</t>
        </is>
      </c>
    </row>
    <row r="268">
      <c r="A268" s="15" t="n">
        <v>46156</v>
      </c>
      <c r="B268" s="16" t="inlineStr">
        <is>
          <t>AMEX TRAVEL PAY WITH POINTS CREDIT</t>
        </is>
      </c>
      <c r="C268" s="17" t="n">
        <v>-385</v>
      </c>
      <c r="D268" s="16" t="inlineStr">
        <is>
          <t>Travel</t>
        </is>
      </c>
      <c r="E268" s="16" t="inlineStr">
        <is>
          <t>May 2026</t>
        </is>
      </c>
    </row>
    <row r="269">
      <c r="A269" s="15" t="n">
        <v>46156</v>
      </c>
      <c r="B269" s="16" t="inlineStr">
        <is>
          <t>AplPay CHICK-FIL-A #CYPRESS TX</t>
        </is>
      </c>
      <c r="C269" s="17" t="n">
        <v>10.86</v>
      </c>
      <c r="D269" s="16" t="inlineStr">
        <is>
          <t>Dining Out</t>
        </is>
      </c>
      <c r="E269" s="16" t="inlineStr">
        <is>
          <t>May 2026</t>
        </is>
      </c>
    </row>
    <row r="270">
      <c r="A270" s="15" t="n">
        <v>46156</v>
      </c>
      <c r="B270" s="16" t="inlineStr">
        <is>
          <t>HOUSTON AIRPORTS RESHOUSTON TX</t>
        </is>
      </c>
      <c r="C270" s="17" t="n">
        <v>122</v>
      </c>
      <c r="D270" s="16" t="inlineStr">
        <is>
          <t>Travel</t>
        </is>
      </c>
      <c r="E270" s="16" t="inlineStr">
        <is>
          <t>May 2026</t>
        </is>
      </c>
    </row>
    <row r="271">
      <c r="A271" s="15" t="n">
        <v>46156</v>
      </c>
      <c r="B271" s="16" t="inlineStr">
        <is>
          <t>PwP AMEXTRAVEL.CO800-297-2977 WA</t>
        </is>
      </c>
      <c r="C271" s="17" t="n">
        <v>3904.53</v>
      </c>
      <c r="D271" s="16" t="inlineStr">
        <is>
          <t>Travel</t>
        </is>
      </c>
      <c r="E271" s="16" t="inlineStr">
        <is>
          <t>May 2026</t>
        </is>
      </c>
    </row>
    <row r="272">
      <c r="A272" s="15" t="n">
        <v>46156</v>
      </c>
      <c r="B272" s="16" t="inlineStr">
        <is>
          <t>TRIVENI SUPERMARKET KATY TX</t>
        </is>
      </c>
      <c r="C272" s="17" t="n">
        <v>16.7</v>
      </c>
      <c r="D272" s="16" t="inlineStr">
        <is>
          <t>Groceries</t>
        </is>
      </c>
      <c r="E272" s="16" t="inlineStr">
        <is>
          <t>May 2026</t>
        </is>
      </c>
    </row>
    <row r="273">
      <c r="A273" s="15" t="n">
        <v>46156</v>
      </c>
      <c r="B273" s="16" t="inlineStr">
        <is>
          <t>TRIVENI SUPERMARKET KATY TX</t>
        </is>
      </c>
      <c r="C273" s="17" t="n">
        <v>45.39</v>
      </c>
      <c r="D273" s="16" t="inlineStr">
        <is>
          <t>Groceries</t>
        </is>
      </c>
      <c r="E273" s="16" t="inlineStr">
        <is>
          <t>May 2026</t>
        </is>
      </c>
    </row>
    <row r="274">
      <c r="A274" s="15" t="n">
        <v>46157</v>
      </c>
      <c r="B274" s="16" t="inlineStr">
        <is>
          <t>AMAZON MARKEPLACE NA PA</t>
        </is>
      </c>
      <c r="C274" s="17" t="n">
        <v>32.46</v>
      </c>
      <c r="D274" s="16" t="inlineStr">
        <is>
          <t>Shopping</t>
        </is>
      </c>
      <c r="E274" s="16" t="inlineStr">
        <is>
          <t>May 2026</t>
        </is>
      </c>
    </row>
    <row r="275">
      <c r="A275" s="15" t="n">
        <v>46157</v>
      </c>
      <c r="B275" s="16" t="inlineStr">
        <is>
          <t>AT&amp;T UVERSE PAYMENT 8002882020 TX</t>
        </is>
      </c>
      <c r="C275" s="17" t="n">
        <v>216.96</v>
      </c>
      <c r="D275" s="16" t="inlineStr">
        <is>
          <t>Internet &amp; Phone</t>
        </is>
      </c>
      <c r="E275" s="16" t="inlineStr">
        <is>
          <t>May 2026</t>
        </is>
      </c>
    </row>
    <row r="276">
      <c r="A276" s="15" t="n">
        <v>46157</v>
      </c>
      <c r="B276" s="16" t="inlineStr">
        <is>
          <t>SBB CFF FFS BERN CH</t>
        </is>
      </c>
      <c r="C276" s="17" t="n">
        <v>815.5700000000001</v>
      </c>
      <c r="D276" s="16" t="inlineStr">
        <is>
          <t>Travel</t>
        </is>
      </c>
      <c r="E276" s="16" t="inlineStr">
        <is>
          <t>May 2026</t>
        </is>
      </c>
    </row>
    <row r="277">
      <c r="A277" s="15" t="n">
        <v>46157</v>
      </c>
      <c r="B277" s="16" t="inlineStr">
        <is>
          <t>STARBUCKS STORE 1029CYPRESS TX</t>
        </is>
      </c>
      <c r="C277" s="17" t="n">
        <v>10.18</v>
      </c>
      <c r="D277" s="16" t="inlineStr">
        <is>
          <t>Dining Out</t>
        </is>
      </c>
      <c r="E277" s="16" t="inlineStr">
        <is>
          <t>May 2026</t>
        </is>
      </c>
    </row>
    <row r="278">
      <c r="A278" s="15" t="n">
        <v>46158</v>
      </c>
      <c r="B278" s="16" t="inlineStr">
        <is>
          <t>AMAZON MARKEPLACE NA PA</t>
        </is>
      </c>
      <c r="C278" s="17" t="n">
        <v>23.12</v>
      </c>
      <c r="D278" s="16" t="inlineStr">
        <is>
          <t>Shopping</t>
        </is>
      </c>
      <c r="E278" s="16" t="inlineStr">
        <is>
          <t>May 2026</t>
        </is>
      </c>
    </row>
    <row r="279">
      <c r="A279" s="15" t="n">
        <v>46158</v>
      </c>
      <c r="B279" s="16" t="inlineStr">
        <is>
          <t>AT&amp;T UVERSE PAYMENT 8002882020 TX</t>
        </is>
      </c>
      <c r="C279" s="17" t="n">
        <v>100.83</v>
      </c>
      <c r="D279" s="16" t="inlineStr">
        <is>
          <t>Internet &amp; Phone</t>
        </is>
      </c>
      <c r="E279" s="16" t="inlineStr">
        <is>
          <t>May 2026</t>
        </is>
      </c>
    </row>
    <row r="280">
      <c r="A280" s="15" t="n">
        <v>46158</v>
      </c>
      <c r="B280" s="16" t="inlineStr">
        <is>
          <t>AplPay HASHTAGINDIA.MCKINNEY TX</t>
        </is>
      </c>
      <c r="C280" s="17" t="n">
        <v>17.81</v>
      </c>
      <c r="D280" s="16" t="inlineStr">
        <is>
          <t>Dining Out</t>
        </is>
      </c>
      <c r="E280" s="16" t="inlineStr">
        <is>
          <t>May 2026</t>
        </is>
      </c>
    </row>
    <row r="281">
      <c r="A281" s="15" t="n">
        <v>46158</v>
      </c>
      <c r="B281" s="16" t="inlineStr">
        <is>
          <t>BJ'S RESTAURANTS 644CYPRESS TX</t>
        </is>
      </c>
      <c r="C281" s="17" t="n">
        <v>89.36</v>
      </c>
      <c r="D281" s="16" t="inlineStr">
        <is>
          <t>Dining Out</t>
        </is>
      </c>
      <c r="E281" s="16" t="inlineStr">
        <is>
          <t>May 2026</t>
        </is>
      </c>
    </row>
    <row r="282">
      <c r="A282" s="15" t="n">
        <v>46158</v>
      </c>
      <c r="B282" s="16" t="inlineStr">
        <is>
          <t>H-E-B #709 000000000CYPRESS TX</t>
        </is>
      </c>
      <c r="C282" s="17" t="n">
        <v>63.65</v>
      </c>
      <c r="D282" s="16" t="inlineStr">
        <is>
          <t>Groceries</t>
        </is>
      </c>
      <c r="E282" s="16" t="inlineStr">
        <is>
          <t>May 2026</t>
        </is>
      </c>
    </row>
    <row r="283">
      <c r="A283" s="15" t="n">
        <v>46158</v>
      </c>
      <c r="B283" s="16" t="inlineStr">
        <is>
          <t>TST* NARA THAI - CYPCYPRESS TX</t>
        </is>
      </c>
      <c r="C283" s="17" t="n">
        <v>33.4</v>
      </c>
      <c r="D283" s="16" t="inlineStr">
        <is>
          <t>Dining Out</t>
        </is>
      </c>
      <c r="E283" s="16" t="inlineStr">
        <is>
          <t>May 2026</t>
        </is>
      </c>
    </row>
    <row r="284">
      <c r="A284" s="15" t="n">
        <v>46159</v>
      </c>
      <c r="B284" s="16" t="inlineStr">
        <is>
          <t>AMAZON.COM AMZN.COM/BILL WA</t>
        </is>
      </c>
      <c r="C284" s="17" t="n">
        <v>8.1</v>
      </c>
      <c r="D284" s="16" t="inlineStr">
        <is>
          <t>Shopping</t>
        </is>
      </c>
      <c r="E284" s="16" t="inlineStr">
        <is>
          <t>May 2026</t>
        </is>
      </c>
    </row>
    <row r="285">
      <c r="A285" s="15" t="n">
        <v>46159</v>
      </c>
      <c r="B285" s="16" t="inlineStr">
        <is>
          <t>HOTEL ON BOOKING.COMAMSTERDAM NL</t>
        </is>
      </c>
      <c r="C285" s="17" t="n">
        <v>2718.61</v>
      </c>
      <c r="D285" s="16" t="inlineStr">
        <is>
          <t>Travel</t>
        </is>
      </c>
      <c r="E285" s="16" t="inlineStr">
        <is>
          <t>May 2026</t>
        </is>
      </c>
    </row>
    <row r="286">
      <c r="A286" s="15" t="n">
        <v>46159</v>
      </c>
      <c r="B286" s="16" t="inlineStr">
        <is>
          <t>PwP AMEXTRAVEL.CO800-297-2977 WA</t>
        </is>
      </c>
      <c r="C286" s="17" t="n">
        <v>-3904.53</v>
      </c>
      <c r="D286" s="16" t="inlineStr">
        <is>
          <t>Travel</t>
        </is>
      </c>
      <c r="E286" s="16" t="inlineStr">
        <is>
          <t>May 2026</t>
        </is>
      </c>
    </row>
    <row r="287">
      <c r="A287" s="15" t="n">
        <v>46160</v>
      </c>
      <c r="B287" s="16" t="inlineStr">
        <is>
          <t>AMAZON MARKETPLACE NAMZN.COM/BILL WA</t>
        </is>
      </c>
      <c r="C287" s="17" t="n">
        <v>-32.46</v>
      </c>
      <c r="D287" s="16" t="inlineStr">
        <is>
          <t>Shopping</t>
        </is>
      </c>
      <c r="E287" s="16" t="inlineStr">
        <is>
          <t>May 2026</t>
        </is>
      </c>
    </row>
    <row r="288">
      <c r="A288" s="15" t="n">
        <v>46160</v>
      </c>
      <c r="B288" s="16" t="inlineStr">
        <is>
          <t>AMAZON MARKETPLACE NAMZN.COM/BILL WA</t>
        </is>
      </c>
      <c r="C288" s="17" t="n">
        <v>-16.23</v>
      </c>
      <c r="D288" s="16" t="inlineStr">
        <is>
          <t>Shopping</t>
        </is>
      </c>
      <c r="E288" s="16" t="inlineStr">
        <is>
          <t>May 2026</t>
        </is>
      </c>
    </row>
    <row r="289">
      <c r="A289" s="15" t="n">
        <v>46160</v>
      </c>
      <c r="B289" s="16" t="inlineStr">
        <is>
          <t>AMAZON MARKETPLACE NAMZN.COM/BILL WA</t>
        </is>
      </c>
      <c r="C289" s="17" t="n">
        <v>-7.03</v>
      </c>
      <c r="D289" s="16" t="inlineStr">
        <is>
          <t>Shopping</t>
        </is>
      </c>
      <c r="E289" s="16" t="inlineStr">
        <is>
          <t>May 2026</t>
        </is>
      </c>
    </row>
    <row r="290">
      <c r="A290" s="15" t="n">
        <v>46160</v>
      </c>
      <c r="B290" s="16" t="inlineStr">
        <is>
          <t>AMAZON MARKEPLACE NA PA</t>
        </is>
      </c>
      <c r="C290" s="17" t="n">
        <v>32.46</v>
      </c>
      <c r="D290" s="16" t="inlineStr">
        <is>
          <t>Shopping</t>
        </is>
      </c>
      <c r="E290" s="16" t="inlineStr">
        <is>
          <t>May 2026</t>
        </is>
      </c>
    </row>
    <row r="291">
      <c r="A291" s="15" t="n">
        <v>46160</v>
      </c>
      <c r="B291" s="16" t="inlineStr">
        <is>
          <t>AMAZON MARKEPLACE NA PA</t>
        </is>
      </c>
      <c r="C291" s="17" t="n">
        <v>34.41</v>
      </c>
      <c r="D291" s="16" t="inlineStr">
        <is>
          <t>Shopping</t>
        </is>
      </c>
      <c r="E291" s="16" t="inlineStr">
        <is>
          <t>May 2026</t>
        </is>
      </c>
    </row>
    <row r="292">
      <c r="A292" s="15" t="n">
        <v>46160</v>
      </c>
      <c r="B292" s="16" t="inlineStr">
        <is>
          <t>AMAZON MARKEPLACE NA PA</t>
        </is>
      </c>
      <c r="C292" s="17" t="n">
        <v>36.78</v>
      </c>
      <c r="D292" s="16" t="inlineStr">
        <is>
          <t>Shopping</t>
        </is>
      </c>
      <c r="E292" s="16" t="inlineStr">
        <is>
          <t>May 2026</t>
        </is>
      </c>
    </row>
    <row r="293">
      <c r="A293" s="15" t="n">
        <v>46160</v>
      </c>
      <c r="B293" s="16" t="inlineStr">
        <is>
          <t>DICK'S SPORTING GOODCORAOPOLIS PA</t>
        </is>
      </c>
      <c r="C293" s="17" t="n">
        <v>116.89</v>
      </c>
      <c r="D293" s="16" t="inlineStr">
        <is>
          <t>Shopping</t>
        </is>
      </c>
      <c r="E293" s="16" t="inlineStr">
        <is>
          <t>May 2026</t>
        </is>
      </c>
    </row>
    <row r="294">
      <c r="A294" s="15" t="n">
        <v>46160</v>
      </c>
      <c r="B294" s="16" t="inlineStr">
        <is>
          <t>GOOGLE *YOUTUBEPREMI G.CO/HELPPAY# CA</t>
        </is>
      </c>
      <c r="C294" s="17" t="n">
        <v>17.31</v>
      </c>
      <c r="D294" s="16" t="inlineStr">
        <is>
          <t>Subscriptions</t>
        </is>
      </c>
      <c r="E294" s="16" t="inlineStr">
        <is>
          <t>May 2026</t>
        </is>
      </c>
    </row>
    <row r="295">
      <c r="A295" s="15" t="n">
        <v>46160</v>
      </c>
      <c r="B295" s="16" t="inlineStr">
        <is>
          <t>MOBILE PAYMENT - THANK YOU</t>
        </is>
      </c>
      <c r="C295" s="17" t="n">
        <v>-4336.47</v>
      </c>
      <c r="D295" s="16" t="inlineStr">
        <is>
          <t>Payments &amp; Adjustments</t>
        </is>
      </c>
      <c r="E295" s="16" t="inlineStr">
        <is>
          <t>May 2026</t>
        </is>
      </c>
    </row>
    <row r="296">
      <c r="A296" s="15" t="n">
        <v>46160</v>
      </c>
      <c r="B296" s="16" t="inlineStr">
        <is>
          <t>Platinum Digital Entertainment Credit</t>
        </is>
      </c>
      <c r="C296" s="17" t="n">
        <v>-17.31</v>
      </c>
      <c r="D296" s="16" t="inlineStr">
        <is>
          <t>Subscriptions</t>
        </is>
      </c>
      <c r="E296" s="16" t="inlineStr">
        <is>
          <t>May 2026</t>
        </is>
      </c>
    </row>
    <row r="297">
      <c r="A297" s="15" t="n">
        <v>46160</v>
      </c>
      <c r="B297" s="16" t="inlineStr">
        <is>
          <t>SBB CFF FFS BERN CH</t>
        </is>
      </c>
      <c r="C297" s="17" t="n">
        <v>-812.66</v>
      </c>
      <c r="D297" s="16" t="inlineStr">
        <is>
          <t>Travel</t>
        </is>
      </c>
      <c r="E297" s="16" t="inlineStr">
        <is>
          <t>May 2026</t>
        </is>
      </c>
    </row>
    <row r="298">
      <c r="A298" s="15" t="n">
        <v>46160</v>
      </c>
      <c r="B298" s="16" t="inlineStr">
        <is>
          <t>SBB CFF FFS BERN CH</t>
        </is>
      </c>
      <c r="C298" s="17" t="n">
        <v>812.66</v>
      </c>
      <c r="D298" s="16" t="inlineStr">
        <is>
          <t>Travel</t>
        </is>
      </c>
      <c r="E298" s="16" t="inlineStr">
        <is>
          <t>May 2026</t>
        </is>
      </c>
    </row>
    <row r="299">
      <c r="A299" s="15" t="n">
        <v>46160</v>
      </c>
      <c r="B299" s="16" t="inlineStr">
        <is>
          <t>TST* HASHTAG INDIA -CYPRESS TX</t>
        </is>
      </c>
      <c r="C299" s="17" t="n">
        <v>13.48</v>
      </c>
      <c r="D299" s="16" t="inlineStr">
        <is>
          <t>Dining Out</t>
        </is>
      </c>
      <c r="E299" s="16" t="inlineStr">
        <is>
          <t>May 2026</t>
        </is>
      </c>
    </row>
    <row r="300">
      <c r="A300" s="15" t="n">
        <v>46161</v>
      </c>
      <c r="B300" s="16" t="inlineStr">
        <is>
          <t>AMAZON MARKEPLACE NA PA</t>
        </is>
      </c>
      <c r="C300" s="17" t="n">
        <v>10.81</v>
      </c>
      <c r="D300" s="16" t="inlineStr">
        <is>
          <t>Shopping</t>
        </is>
      </c>
      <c r="E300" s="16" t="inlineStr">
        <is>
          <t>May 2026</t>
        </is>
      </c>
    </row>
    <row r="301">
      <c r="A301" s="15" t="n">
        <v>46161</v>
      </c>
      <c r="B301" s="16" t="inlineStr">
        <is>
          <t>AMAZON.COM AMZN.COM/BILL WA</t>
        </is>
      </c>
      <c r="C301" s="17" t="n">
        <v>94.18000000000001</v>
      </c>
      <c r="D301" s="16" t="inlineStr">
        <is>
          <t>Shopping</t>
        </is>
      </c>
      <c r="E301" s="16" t="inlineStr">
        <is>
          <t>May 2026</t>
        </is>
      </c>
    </row>
    <row r="302">
      <c r="A302" s="15" t="n">
        <v>46161</v>
      </c>
      <c r="B302" s="16" t="inlineStr">
        <is>
          <t>EXXONMOBIL CYPRESS TX</t>
        </is>
      </c>
      <c r="C302" s="17" t="n">
        <v>9.6</v>
      </c>
      <c r="D302" s="16" t="inlineStr">
        <is>
          <t>Gas / Transit</t>
        </is>
      </c>
      <c r="E302" s="16" t="inlineStr">
        <is>
          <t>May 2026</t>
        </is>
      </c>
    </row>
    <row r="303">
      <c r="A303" s="15" t="n">
        <v>46161</v>
      </c>
      <c r="B303" s="16" t="inlineStr">
        <is>
          <t>H-E-B #709 000000000CYPRESS TX</t>
        </is>
      </c>
      <c r="C303" s="17" t="n">
        <v>46.22</v>
      </c>
      <c r="D303" s="16" t="inlineStr">
        <is>
          <t>Groceries</t>
        </is>
      </c>
      <c r="E303" s="16" t="inlineStr">
        <is>
          <t>May 2026</t>
        </is>
      </c>
    </row>
    <row r="304">
      <c r="A304" s="15" t="n">
        <v>46161</v>
      </c>
      <c r="B304" s="16" t="inlineStr">
        <is>
          <t>TAXIS ON BOOKING LONDON GB</t>
        </is>
      </c>
      <c r="C304" s="17" t="n">
        <v>54.15</v>
      </c>
      <c r="D304" s="16" t="inlineStr">
        <is>
          <t>Travel</t>
        </is>
      </c>
      <c r="E304" s="16" t="inlineStr">
        <is>
          <t>May 2026</t>
        </is>
      </c>
    </row>
    <row r="305">
      <c r="A305" s="15" t="n">
        <v>46161</v>
      </c>
      <c r="B305" s="16" t="inlineStr">
        <is>
          <t>THE VOLLEYBALL SCHOOKATY TX</t>
        </is>
      </c>
      <c r="C305" s="17" t="n">
        <v>72.03</v>
      </c>
      <c r="D305" s="16" t="inlineStr">
        <is>
          <t>Health &amp; Fitness</t>
        </is>
      </c>
      <c r="E305" s="16" t="inlineStr">
        <is>
          <t>May 2026</t>
        </is>
      </c>
    </row>
    <row r="306">
      <c r="A306" s="15" t="n">
        <v>46161</v>
      </c>
      <c r="B306" s="16" t="inlineStr">
        <is>
          <t>THE VOLLEYBALL SCHOOKATY TX</t>
        </is>
      </c>
      <c r="C306" s="17" t="n">
        <v>123.48</v>
      </c>
      <c r="D306" s="16" t="inlineStr">
        <is>
          <t>Health &amp; Fitness</t>
        </is>
      </c>
      <c r="E306" s="16" t="inlineStr">
        <is>
          <t>May 2026</t>
        </is>
      </c>
    </row>
    <row r="307">
      <c r="A307" s="15" t="n">
        <v>46162</v>
      </c>
      <c r="B307" s="16" t="inlineStr">
        <is>
          <t>AMAZON MARKEPLACE NA PA</t>
        </is>
      </c>
      <c r="C307" s="17" t="n">
        <v>43.29</v>
      </c>
      <c r="D307" s="16" t="inlineStr">
        <is>
          <t>Shopping</t>
        </is>
      </c>
      <c r="E307" s="16" t="inlineStr">
        <is>
          <t>May 2026</t>
        </is>
      </c>
    </row>
    <row r="308">
      <c r="A308" s="15" t="n">
        <v>46162</v>
      </c>
      <c r="B308" s="16" t="inlineStr">
        <is>
          <t>AMAZON MARKEPLACE NA PA</t>
        </is>
      </c>
      <c r="C308" s="17" t="n">
        <v>46.75</v>
      </c>
      <c r="D308" s="16" t="inlineStr">
        <is>
          <t>Shopping</t>
        </is>
      </c>
      <c r="E308" s="16" t="inlineStr">
        <is>
          <t>May 2026</t>
        </is>
      </c>
    </row>
    <row r="309">
      <c r="A309" s="15" t="n">
        <v>46162</v>
      </c>
      <c r="B309" s="16" t="inlineStr">
        <is>
          <t>AMAZON.COM AMZN.COM/BILL WA</t>
        </is>
      </c>
      <c r="C309" s="17" t="n">
        <v>4.19</v>
      </c>
      <c r="D309" s="16" t="inlineStr">
        <is>
          <t>Shopping</t>
        </is>
      </c>
      <c r="E309" s="16" t="inlineStr">
        <is>
          <t>May 2026</t>
        </is>
      </c>
    </row>
    <row r="310">
      <c r="A310" s="15" t="n">
        <v>46162</v>
      </c>
      <c r="B310" s="16" t="inlineStr">
        <is>
          <t>AMAZON.COM AMZN.COM/BILL WA</t>
        </is>
      </c>
      <c r="C310" s="17" t="n">
        <v>7.55</v>
      </c>
      <c r="D310" s="16" t="inlineStr">
        <is>
          <t>Shopping</t>
        </is>
      </c>
      <c r="E310" s="16" t="inlineStr">
        <is>
          <t>May 2026</t>
        </is>
      </c>
    </row>
    <row r="311">
      <c r="A311" s="15" t="n">
        <v>46162</v>
      </c>
      <c r="B311" s="16" t="inlineStr">
        <is>
          <t>AMAZON.COM AMZN.COM/BILL WA</t>
        </is>
      </c>
      <c r="C311" s="17" t="n">
        <v>10.79</v>
      </c>
      <c r="D311" s="16" t="inlineStr">
        <is>
          <t>Shopping</t>
        </is>
      </c>
      <c r="E311" s="16" t="inlineStr">
        <is>
          <t>May 2026</t>
        </is>
      </c>
    </row>
    <row r="312">
      <c r="A312" s="15" t="n">
        <v>46162</v>
      </c>
      <c r="B312" s="16" t="inlineStr">
        <is>
          <t>AMERICAN EXPRESS TVLPHOENIX AZ</t>
        </is>
      </c>
      <c r="C312" s="17" t="n">
        <v>0.1</v>
      </c>
      <c r="D312" s="16" t="inlineStr">
        <is>
          <t>Travel</t>
        </is>
      </c>
      <c r="E312" s="16" t="inlineStr">
        <is>
          <t>May 2026</t>
        </is>
      </c>
    </row>
    <row r="313">
      <c r="A313" s="15" t="n">
        <v>46162</v>
      </c>
      <c r="B313" s="16" t="inlineStr">
        <is>
          <t>AMERICAN EXPRESS TVLPHOENIX AZ</t>
        </is>
      </c>
      <c r="C313" s="17" t="n">
        <v>0.1</v>
      </c>
      <c r="D313" s="16" t="inlineStr">
        <is>
          <t>Travel</t>
        </is>
      </c>
      <c r="E313" s="16" t="inlineStr">
        <is>
          <t>May 2026</t>
        </is>
      </c>
    </row>
    <row r="314">
      <c r="A314" s="15" t="n">
        <v>46162</v>
      </c>
      <c r="B314" s="16" t="inlineStr">
        <is>
          <t>AMERICAN EXPRESS TVLPHOENIX AZ</t>
        </is>
      </c>
      <c r="C314" s="17" t="n">
        <v>0.1</v>
      </c>
      <c r="D314" s="16" t="inlineStr">
        <is>
          <t>Travel</t>
        </is>
      </c>
      <c r="E314" s="16" t="inlineStr">
        <is>
          <t>May 2026</t>
        </is>
      </c>
    </row>
    <row r="315">
      <c r="A315" s="15" t="n">
        <v>46162</v>
      </c>
      <c r="B315" s="16" t="inlineStr">
        <is>
          <t>GAP OUTLET US 7938 KATY TX</t>
        </is>
      </c>
      <c r="C315" s="17" t="n">
        <v>76.83</v>
      </c>
      <c r="D315" s="16" t="inlineStr">
        <is>
          <t>Shopping</t>
        </is>
      </c>
      <c r="E315" s="16" t="inlineStr">
        <is>
          <t>May 2026</t>
        </is>
      </c>
    </row>
    <row r="316">
      <c r="A316" s="15" t="n">
        <v>46162</v>
      </c>
      <c r="B316" s="16" t="inlineStr">
        <is>
          <t>GUESS? RETAIL INC. LOS ANGELES CA</t>
        </is>
      </c>
      <c r="C316" s="17" t="n">
        <v>150.95</v>
      </c>
      <c r="D316" s="16" t="inlineStr">
        <is>
          <t>Shopping</t>
        </is>
      </c>
      <c r="E316" s="16" t="inlineStr">
        <is>
          <t>May 2026</t>
        </is>
      </c>
    </row>
    <row r="317">
      <c r="A317" s="15" t="n">
        <v>46162</v>
      </c>
      <c r="B317" s="16" t="inlineStr">
        <is>
          <t>H-E-B #709 000000000CYPRESS TX</t>
        </is>
      </c>
      <c r="C317" s="17" t="n">
        <v>8.44</v>
      </c>
      <c r="D317" s="16" t="inlineStr">
        <is>
          <t>Groceries</t>
        </is>
      </c>
      <c r="E317" s="16" t="inlineStr">
        <is>
          <t>May 2026</t>
        </is>
      </c>
    </row>
    <row r="318">
      <c r="A318" s="15" t="n">
        <v>46162</v>
      </c>
      <c r="B318" s="16" t="inlineStr">
        <is>
          <t>HOTEL ON BOOKING.COMAMSTERDAM NL</t>
        </is>
      </c>
      <c r="C318" s="17" t="n">
        <v>527.46</v>
      </c>
      <c r="D318" s="16" t="inlineStr">
        <is>
          <t>Travel</t>
        </is>
      </c>
      <c r="E318" s="16" t="inlineStr">
        <is>
          <t>May 2026</t>
        </is>
      </c>
    </row>
    <row r="319">
      <c r="A319" s="15" t="n">
        <v>46162</v>
      </c>
      <c r="B319" s="16" t="inlineStr">
        <is>
          <t>SBB CFF FFS BERN CH</t>
        </is>
      </c>
      <c r="C319" s="17" t="n">
        <v>-811.3099999999999</v>
      </c>
      <c r="D319" s="16" t="inlineStr">
        <is>
          <t>Travel</t>
        </is>
      </c>
      <c r="E319" s="16" t="inlineStr">
        <is>
          <t>May 2026</t>
        </is>
      </c>
    </row>
    <row r="320">
      <c r="A320" s="15" t="n">
        <v>46162</v>
      </c>
      <c r="B320" s="16" t="inlineStr">
        <is>
          <t>SBB CFF FFS BERN CH</t>
        </is>
      </c>
      <c r="C320" s="17" t="n">
        <v>-889.29</v>
      </c>
      <c r="D320" s="16" t="inlineStr">
        <is>
          <t>Travel</t>
        </is>
      </c>
      <c r="E320" s="16" t="inlineStr">
        <is>
          <t>May 2026</t>
        </is>
      </c>
    </row>
    <row r="321">
      <c r="A321" s="15" t="n">
        <v>46162</v>
      </c>
      <c r="B321" s="16" t="inlineStr">
        <is>
          <t>SBB CFF FFS BERN CH</t>
        </is>
      </c>
      <c r="C321" s="17" t="n">
        <v>889.29</v>
      </c>
      <c r="D321" s="16" t="inlineStr">
        <is>
          <t>Travel</t>
        </is>
      </c>
      <c r="E321" s="16" t="inlineStr">
        <is>
          <t>May 2026</t>
        </is>
      </c>
    </row>
    <row r="322">
      <c r="A322" s="15" t="n">
        <v>46162</v>
      </c>
      <c r="B322" s="16" t="inlineStr">
        <is>
          <t>SBB CFF FFS BERN CH</t>
        </is>
      </c>
      <c r="C322" s="17" t="n">
        <v>926.79</v>
      </c>
      <c r="D322" s="16" t="inlineStr">
        <is>
          <t>Travel</t>
        </is>
      </c>
      <c r="E322" s="16" t="inlineStr">
        <is>
          <t>May 2026</t>
        </is>
      </c>
    </row>
    <row r="323">
      <c r="A323" s="15" t="n">
        <v>46162</v>
      </c>
      <c r="B323" s="16" t="inlineStr">
        <is>
          <t>TACO BELL 032599 032CYPRESS TX</t>
        </is>
      </c>
      <c r="C323" s="17" t="n">
        <v>17.54</v>
      </c>
      <c r="D323" s="16" t="inlineStr">
        <is>
          <t>Dining Out</t>
        </is>
      </c>
      <c r="E323" s="16" t="inlineStr">
        <is>
          <t>May 2026</t>
        </is>
      </c>
    </row>
    <row r="324">
      <c r="A324" s="15" t="n">
        <v>46162</v>
      </c>
      <c r="B324" s="16" t="inlineStr">
        <is>
          <t>TAXIS ON BOOKING LONDON GB</t>
        </is>
      </c>
      <c r="C324" s="17" t="n">
        <v>-54.15</v>
      </c>
      <c r="D324" s="16" t="inlineStr">
        <is>
          <t>Travel</t>
        </is>
      </c>
      <c r="E324" s="16" t="inlineStr">
        <is>
          <t>May 2026</t>
        </is>
      </c>
    </row>
    <row r="325">
      <c r="A325" s="15" t="n">
        <v>46162</v>
      </c>
      <c r="B325" s="16" t="inlineStr">
        <is>
          <t>TAXIS ON BOOKING LONDON GB</t>
        </is>
      </c>
      <c r="C325" s="17" t="n">
        <v>-53.94</v>
      </c>
      <c r="D325" s="16" t="inlineStr">
        <is>
          <t>Travel</t>
        </is>
      </c>
      <c r="E325" s="16" t="inlineStr">
        <is>
          <t>May 2026</t>
        </is>
      </c>
    </row>
    <row r="326">
      <c r="A326" s="15" t="n">
        <v>46162</v>
      </c>
      <c r="B326" s="16" t="inlineStr">
        <is>
          <t>TAXIS ON BOOKING LONDON GB</t>
        </is>
      </c>
      <c r="C326" s="17" t="n">
        <v>53.94</v>
      </c>
      <c r="D326" s="16" t="inlineStr">
        <is>
          <t>Travel</t>
        </is>
      </c>
      <c r="E326" s="16" t="inlineStr">
        <is>
          <t>May 2026</t>
        </is>
      </c>
    </row>
    <row r="327">
      <c r="A327" s="15" t="n">
        <v>46163</v>
      </c>
      <c r="B327" s="16" t="inlineStr">
        <is>
          <t>AMERICAN EAGLE OUTFIPITTSBURGH PA</t>
        </is>
      </c>
      <c r="C327" s="17" t="n">
        <v>58.42</v>
      </c>
      <c r="D327" s="16" t="inlineStr">
        <is>
          <t>Shopping</t>
        </is>
      </c>
      <c r="E327" s="16" t="inlineStr">
        <is>
          <t>May 2026</t>
        </is>
      </c>
    </row>
    <row r="328">
      <c r="A328" s="15" t="n">
        <v>46163</v>
      </c>
      <c r="B328" s="16" t="inlineStr">
        <is>
          <t>CHICK-FIL-A #03792 0CYPRESS TX</t>
        </is>
      </c>
      <c r="C328" s="17" t="n">
        <v>11.29</v>
      </c>
      <c r="D328" s="16" t="inlineStr">
        <is>
          <t>Dining Out</t>
        </is>
      </c>
      <c r="E328" s="16" t="inlineStr">
        <is>
          <t>May 2026</t>
        </is>
      </c>
    </row>
    <row r="329">
      <c r="A329" s="15" t="n">
        <v>46163</v>
      </c>
      <c r="B329" s="16" t="inlineStr">
        <is>
          <t>HOTEL ON BOOKING.COMAMSTERDAM NL</t>
        </is>
      </c>
      <c r="C329" s="17" t="n">
        <v>-526.1799999999999</v>
      </c>
      <c r="D329" s="16" t="inlineStr">
        <is>
          <t>Travel</t>
        </is>
      </c>
      <c r="E329" s="16" t="inlineStr">
        <is>
          <t>May 2026</t>
        </is>
      </c>
    </row>
    <row r="330">
      <c r="A330" s="15" t="n">
        <v>46163</v>
      </c>
      <c r="B330" s="16" t="inlineStr">
        <is>
          <t>KROOZIN MARKET HOUSTON TX</t>
        </is>
      </c>
      <c r="C330" s="17" t="n">
        <v>46.46</v>
      </c>
      <c r="D330" s="16" t="inlineStr">
        <is>
          <t>Groceries</t>
        </is>
      </c>
      <c r="E330" s="16" t="inlineStr">
        <is>
          <t>May 2026</t>
        </is>
      </c>
    </row>
    <row r="331">
      <c r="A331" s="15" t="n">
        <v>46163</v>
      </c>
      <c r="B331" s="16" t="inlineStr">
        <is>
          <t>MONKS INDIAN BISTRO CYPRESS TX</t>
        </is>
      </c>
      <c r="C331" s="17" t="n">
        <v>34.1</v>
      </c>
      <c r="D331" s="16" t="inlineStr">
        <is>
          <t>Dining Out</t>
        </is>
      </c>
      <c r="E331" s="16" t="inlineStr">
        <is>
          <t>May 2026</t>
        </is>
      </c>
    </row>
    <row r="332">
      <c r="A332" s="15" t="n">
        <v>46163</v>
      </c>
      <c r="B332" s="16" t="inlineStr">
        <is>
          <t>SBB CFF FFS BERN CH</t>
        </is>
      </c>
      <c r="C332" s="17" t="n">
        <v>-926.79</v>
      </c>
      <c r="D332" s="16" t="inlineStr">
        <is>
          <t>Travel</t>
        </is>
      </c>
      <c r="E332" s="16" t="inlineStr">
        <is>
          <t>May 2026</t>
        </is>
      </c>
    </row>
    <row r="333">
      <c r="A333" s="15" t="n">
        <v>46163</v>
      </c>
      <c r="B333" s="16" t="inlineStr">
        <is>
          <t>TST* HASHTAG INDIA -CYPRESS TX</t>
        </is>
      </c>
      <c r="C333" s="17" t="n">
        <v>15.11</v>
      </c>
      <c r="D333" s="16" t="inlineStr">
        <is>
          <t>Dining Out</t>
        </is>
      </c>
      <c r="E333" s="16" t="inlineStr">
        <is>
          <t>May 2026</t>
        </is>
      </c>
    </row>
    <row r="334">
      <c r="A334" s="15" t="n">
        <v>46164</v>
      </c>
      <c r="B334" s="16" t="inlineStr">
        <is>
          <t>BRIX HOLDINGS CYPRESS TX</t>
        </is>
      </c>
      <c r="C334" s="17" t="n">
        <v>7.23</v>
      </c>
      <c r="D334" s="16" t="inlineStr">
        <is>
          <t>Dining Out</t>
        </is>
      </c>
      <c r="E334" s="16" t="inlineStr">
        <is>
          <t>May 2026</t>
        </is>
      </c>
    </row>
    <row r="335">
      <c r="A335" s="15" t="n">
        <v>46164</v>
      </c>
      <c r="B335" s="16" t="inlineStr">
        <is>
          <t>TST* FADIS MASON RD KATY TX</t>
        </is>
      </c>
      <c r="C335" s="17" t="n">
        <v>46.49</v>
      </c>
      <c r="D335" s="16" t="inlineStr">
        <is>
          <t>Dining Out</t>
        </is>
      </c>
      <c r="E335" s="16" t="inlineStr">
        <is>
          <t>May 2026</t>
        </is>
      </c>
    </row>
    <row r="336">
      <c r="A336" s="15" t="n">
        <v>46165</v>
      </c>
      <c r="B336" s="16" t="inlineStr">
        <is>
          <t>AMAZON MARKEPLACE NA PA</t>
        </is>
      </c>
      <c r="C336" s="17" t="n">
        <v>42.21</v>
      </c>
      <c r="D336" s="16" t="inlineStr">
        <is>
          <t>Shopping</t>
        </is>
      </c>
      <c r="E336" s="16" t="inlineStr">
        <is>
          <t>May 2026</t>
        </is>
      </c>
    </row>
    <row r="337">
      <c r="A337" s="15" t="n">
        <v>46165</v>
      </c>
      <c r="B337" s="16" t="inlineStr">
        <is>
          <t>HCTRA EZ TAG REBILL HOUSTON TX</t>
        </is>
      </c>
      <c r="C337" s="17" t="n">
        <v>40</v>
      </c>
      <c r="D337" s="16" t="inlineStr">
        <is>
          <t>Gas / Transit</t>
        </is>
      </c>
      <c r="E337" s="16" t="inlineStr">
        <is>
          <t>May 2026</t>
        </is>
      </c>
    </row>
    <row r="338">
      <c r="A338" s="15" t="n">
        <v>46165</v>
      </c>
      <c r="B338" s="16" t="inlineStr">
        <is>
          <t>TRIVENI SUPERMARKET KATY TX</t>
        </is>
      </c>
      <c r="C338" s="17" t="n">
        <v>13.2</v>
      </c>
      <c r="D338" s="16" t="inlineStr">
        <is>
          <t>Groceries</t>
        </is>
      </c>
      <c r="E338" s="16" t="inlineStr">
        <is>
          <t>May 2026</t>
        </is>
      </c>
    </row>
    <row r="339">
      <c r="A339" s="15" t="n">
        <v>46165</v>
      </c>
      <c r="B339" s="16" t="inlineStr">
        <is>
          <t>TRIVENI SUPERMARKET KATY TX</t>
        </is>
      </c>
      <c r="C339" s="17" t="n">
        <v>48.8</v>
      </c>
      <c r="D339" s="16" t="inlineStr">
        <is>
          <t>Groceries</t>
        </is>
      </c>
      <c r="E339" s="16" t="inlineStr">
        <is>
          <t>May 2026</t>
        </is>
      </c>
    </row>
    <row r="340">
      <c r="A340" s="15" t="n">
        <v>46165</v>
      </c>
      <c r="B340" s="16" t="inlineStr">
        <is>
          <t>TRIVENI SUPERMARKET KATY TX</t>
        </is>
      </c>
      <c r="C340" s="17" t="n">
        <v>62.4</v>
      </c>
      <c r="D340" s="16" t="inlineStr">
        <is>
          <t>Groceries</t>
        </is>
      </c>
      <c r="E340" s="16" t="inlineStr">
        <is>
          <t>May 2026</t>
        </is>
      </c>
    </row>
    <row r="341">
      <c r="A341" s="15" t="n">
        <v>46165</v>
      </c>
      <c r="B341" s="16" t="inlineStr">
        <is>
          <t>TST* HASHTAG INDIA -CYPRESS TX</t>
        </is>
      </c>
      <c r="C341" s="17" t="n">
        <v>27.02</v>
      </c>
      <c r="D341" s="16" t="inlineStr">
        <is>
          <t>Dining Out</t>
        </is>
      </c>
      <c r="E341" s="16" t="inlineStr">
        <is>
          <t>May 2026</t>
        </is>
      </c>
    </row>
    <row r="342">
      <c r="A342" s="15" t="n">
        <v>46165</v>
      </c>
      <c r="B342" s="16" t="inlineStr">
        <is>
          <t>WORLD OF BEER HOUSTOCYPRESS TX</t>
        </is>
      </c>
      <c r="C342" s="17" t="n">
        <v>58.07</v>
      </c>
      <c r="D342" s="16" t="inlineStr">
        <is>
          <t>Dining Out</t>
        </is>
      </c>
      <c r="E342" s="16" t="inlineStr">
        <is>
          <t>May 2026</t>
        </is>
      </c>
    </row>
    <row r="343">
      <c r="A343" s="15" t="n">
        <v>46166</v>
      </c>
      <c r="B343" s="16" t="inlineStr">
        <is>
          <t>ANDY'S - CYPRESS HOUSTON TX</t>
        </is>
      </c>
      <c r="C343" s="17" t="n">
        <v>8.76</v>
      </c>
      <c r="D343" s="16" t="inlineStr">
        <is>
          <t>Dining Out</t>
        </is>
      </c>
      <c r="E343" s="16" t="inlineStr">
        <is>
          <t>May 2026</t>
        </is>
      </c>
    </row>
    <row r="344">
      <c r="A344" s="15" t="n">
        <v>46166</v>
      </c>
      <c r="B344" s="16" t="inlineStr">
        <is>
          <t>AplPay UBER ONE MEMBHTTPS://HELP.UBER.CONL</t>
        </is>
      </c>
      <c r="C344" s="17" t="n">
        <v>6.96</v>
      </c>
      <c r="D344" s="16" t="inlineStr">
        <is>
          <t>Subscriptions</t>
        </is>
      </c>
      <c r="E344" s="16" t="inlineStr">
        <is>
          <t>May 2026</t>
        </is>
      </c>
    </row>
    <row r="345">
      <c r="A345" s="15" t="n">
        <v>46167</v>
      </c>
      <c r="B345" s="16" t="inlineStr">
        <is>
          <t>AMAZON MARKEPLACE NA PA</t>
        </is>
      </c>
      <c r="C345" s="17" t="n">
        <v>10.77</v>
      </c>
      <c r="D345" s="16" t="inlineStr">
        <is>
          <t>Shopping</t>
        </is>
      </c>
      <c r="E345" s="16" t="inlineStr">
        <is>
          <t>May 2026</t>
        </is>
      </c>
    </row>
    <row r="346">
      <c r="A346" s="15" t="n">
        <v>46167</v>
      </c>
      <c r="B346" s="16" t="inlineStr">
        <is>
          <t>H-E-B #709 000000000CYPRESS TX</t>
        </is>
      </c>
      <c r="C346" s="17" t="n">
        <v>45.72</v>
      </c>
      <c r="D346" s="16" t="inlineStr">
        <is>
          <t>Groceries</t>
        </is>
      </c>
      <c r="E346" s="16" t="inlineStr">
        <is>
          <t>May 2026</t>
        </is>
      </c>
    </row>
    <row r="347">
      <c r="A347" s="15" t="n">
        <v>46167</v>
      </c>
      <c r="B347" s="16" t="inlineStr">
        <is>
          <t>LOWE'S CYPRESS TX</t>
        </is>
      </c>
      <c r="C347" s="17" t="n">
        <v>-54.98</v>
      </c>
      <c r="D347" s="16" t="inlineStr">
        <is>
          <t>Shopping</t>
        </is>
      </c>
      <c r="E347" s="16" t="inlineStr">
        <is>
          <t>May 2026</t>
        </is>
      </c>
    </row>
    <row r="348">
      <c r="A348" s="15" t="n">
        <v>46167</v>
      </c>
      <c r="B348" s="16" t="inlineStr">
        <is>
          <t>LOWE'S CYPRESS TX</t>
        </is>
      </c>
      <c r="C348" s="17" t="n">
        <v>101.46</v>
      </c>
      <c r="D348" s="16" t="inlineStr">
        <is>
          <t>Shopping</t>
        </is>
      </c>
      <c r="E348" s="16" t="inlineStr">
        <is>
          <t>May 2026</t>
        </is>
      </c>
    </row>
    <row r="349">
      <c r="A349" s="15" t="n">
        <v>46168</v>
      </c>
      <c r="B349" s="16" t="inlineStr">
        <is>
          <t>CHEESECAKE CYPRESS 2CYPRESS TX</t>
        </is>
      </c>
      <c r="C349" s="17" t="n">
        <v>62.43</v>
      </c>
      <c r="D349" s="16" t="inlineStr">
        <is>
          <t>Dining Out</t>
        </is>
      </c>
      <c r="E349" s="16" t="inlineStr">
        <is>
          <t>May 2026</t>
        </is>
      </c>
    </row>
    <row r="350">
      <c r="A350" s="15" t="n">
        <v>46169</v>
      </c>
      <c r="B350" s="16" t="inlineStr">
        <is>
          <t>AMAZON MARKETPLACE NAMZN.COM/BILL WA</t>
        </is>
      </c>
      <c r="C350" s="17" t="n">
        <v>-36.78</v>
      </c>
      <c r="D350" s="16" t="inlineStr">
        <is>
          <t>Shopping</t>
        </is>
      </c>
      <c r="E350" s="16" t="inlineStr">
        <is>
          <t>May 2026</t>
        </is>
      </c>
    </row>
    <row r="351">
      <c r="A351" s="15" t="n">
        <v>46169</v>
      </c>
      <c r="B351" s="16" t="inlineStr">
        <is>
          <t>AMAZON MARKETPLACE NAMZN.COM/BILL WA</t>
        </is>
      </c>
      <c r="C351" s="17" t="n">
        <v>-32.46</v>
      </c>
      <c r="D351" s="16" t="inlineStr">
        <is>
          <t>Shopping</t>
        </is>
      </c>
      <c r="E351" s="16" t="inlineStr">
        <is>
          <t>May 2026</t>
        </is>
      </c>
    </row>
    <row r="352">
      <c r="A352" s="15" t="n">
        <v>46169</v>
      </c>
      <c r="B352" s="16" t="inlineStr">
        <is>
          <t>AMAZON MARKETPLACE NAMZN.COM/BILL WA</t>
        </is>
      </c>
      <c r="C352" s="17" t="n">
        <v>-8.65</v>
      </c>
      <c r="D352" s="16" t="inlineStr">
        <is>
          <t>Shopping</t>
        </is>
      </c>
      <c r="E352" s="16" t="inlineStr">
        <is>
          <t>May 2026</t>
        </is>
      </c>
    </row>
    <row r="353">
      <c r="A353" s="15" t="n">
        <v>46169</v>
      </c>
      <c r="B353" s="16" t="inlineStr">
        <is>
          <t>AplPay CHIPOTLE MEX NEWPORT BEACH CA</t>
        </is>
      </c>
      <c r="C353" s="17" t="n">
        <v>11.1</v>
      </c>
      <c r="D353" s="16" t="inlineStr">
        <is>
          <t>Dining Out</t>
        </is>
      </c>
      <c r="E353" s="16" t="inlineStr">
        <is>
          <t>May 2026</t>
        </is>
      </c>
    </row>
    <row r="354">
      <c r="A354" s="15" t="n">
        <v>46169</v>
      </c>
      <c r="B354" s="16" t="inlineStr">
        <is>
          <t>AplPay HASHTAGINDIA.MCKINNEY TX</t>
        </is>
      </c>
      <c r="C354" s="17" t="n">
        <v>40.76</v>
      </c>
      <c r="D354" s="16" t="inlineStr">
        <is>
          <t>Dining Out</t>
        </is>
      </c>
      <c r="E354" s="16" t="inlineStr">
        <is>
          <t>May 2026</t>
        </is>
      </c>
    </row>
    <row r="355">
      <c r="A355" s="15" t="n">
        <v>46169</v>
      </c>
      <c r="B355" s="16" t="inlineStr">
        <is>
          <t>MCDONALD'S F41117 00CYPRESS TX</t>
        </is>
      </c>
      <c r="C355" s="17" t="n">
        <v>8.869999999999999</v>
      </c>
      <c r="D355" s="16" t="inlineStr">
        <is>
          <t>Dining Out</t>
        </is>
      </c>
      <c r="E355" s="16" t="inlineStr">
        <is>
          <t>May 2026</t>
        </is>
      </c>
    </row>
    <row r="356">
      <c r="A356" s="15" t="n">
        <v>46169</v>
      </c>
      <c r="B356" s="16" t="inlineStr">
        <is>
          <t>SRI SATYANARAYANA TEHOCKLEY TX</t>
        </is>
      </c>
      <c r="C356" s="17" t="n">
        <v>21</v>
      </c>
      <c r="D356" s="16" t="inlineStr">
        <is>
          <t>Miscellaneous</t>
        </is>
      </c>
      <c r="E356" s="16" t="inlineStr">
        <is>
          <t>May 2026</t>
        </is>
      </c>
    </row>
    <row r="357">
      <c r="A357" s="15" t="n">
        <v>46169</v>
      </c>
      <c r="B357" s="16" t="inlineStr">
        <is>
          <t>TST* HASHTAG INDIA -CYPRESS TX</t>
        </is>
      </c>
      <c r="C357" s="17" t="n">
        <v>7.55</v>
      </c>
      <c r="D357" s="16" t="inlineStr">
        <is>
          <t>Dining Out</t>
        </is>
      </c>
      <c r="E357" s="16" t="inlineStr">
        <is>
          <t>May 2026</t>
        </is>
      </c>
    </row>
    <row r="358">
      <c r="A358" s="15" t="n">
        <v>46170</v>
      </c>
      <c r="B358" s="16" t="inlineStr">
        <is>
          <t>AMAZON MARKEPLACE NA PA</t>
        </is>
      </c>
      <c r="C358" s="17" t="n">
        <v>11.98</v>
      </c>
      <c r="D358" s="16" t="inlineStr">
        <is>
          <t>Shopping</t>
        </is>
      </c>
      <c r="E358" s="16" t="inlineStr">
        <is>
          <t>May 2026</t>
        </is>
      </c>
    </row>
    <row r="359">
      <c r="A359" s="15" t="n">
        <v>46170</v>
      </c>
      <c r="B359" s="16" t="inlineStr">
        <is>
          <t>AMAZON MARKEPLACE NA PA</t>
        </is>
      </c>
      <c r="C359" s="17" t="n">
        <v>46.74</v>
      </c>
      <c r="D359" s="16" t="inlineStr">
        <is>
          <t>Shopping</t>
        </is>
      </c>
      <c r="E359" s="16" t="inlineStr">
        <is>
          <t>May 2026</t>
        </is>
      </c>
    </row>
    <row r="360">
      <c r="A360" s="15" t="n">
        <v>46170</v>
      </c>
      <c r="B360" s="16" t="inlineStr">
        <is>
          <t>AMAZON.COM AMZN.COM/BILL WA</t>
        </is>
      </c>
      <c r="C360" s="17" t="n">
        <v>8.630000000000001</v>
      </c>
      <c r="D360" s="16" t="inlineStr">
        <is>
          <t>Shopping</t>
        </is>
      </c>
      <c r="E360" s="16" t="inlineStr">
        <is>
          <t>May 2026</t>
        </is>
      </c>
    </row>
    <row r="361">
      <c r="A361" s="15" t="n">
        <v>46170</v>
      </c>
      <c r="B361" s="16" t="inlineStr">
        <is>
          <t>MOBILE PAYMENT - THANK YOU</t>
        </is>
      </c>
      <c r="C361" s="17" t="n">
        <v>-791.24</v>
      </c>
      <c r="D361" s="16" t="inlineStr">
        <is>
          <t>Payments &amp; Adjustments</t>
        </is>
      </c>
      <c r="E361" s="16" t="inlineStr">
        <is>
          <t>May 2026</t>
        </is>
      </c>
    </row>
    <row r="362">
      <c r="A362" s="15" t="n">
        <v>46171</v>
      </c>
      <c r="B362" s="16" t="inlineStr">
        <is>
          <t>AplPay HASHTAGINDIA.MCKINNEY TX</t>
        </is>
      </c>
      <c r="C362" s="17" t="n">
        <v>17.81</v>
      </c>
      <c r="D362" s="16" t="inlineStr">
        <is>
          <t>Dining Out</t>
        </is>
      </c>
      <c r="E362" s="16" t="inlineStr">
        <is>
          <t>May 2026</t>
        </is>
      </c>
    </row>
    <row r="363">
      <c r="A363" s="15" t="n">
        <v>46171</v>
      </c>
      <c r="B363" s="16" t="inlineStr">
        <is>
          <t>AplPay WINGSTOP 1556CYPRESS TX</t>
        </is>
      </c>
      <c r="C363" s="17" t="n">
        <v>16</v>
      </c>
      <c r="D363" s="16" t="inlineStr">
        <is>
          <t>Dining Out</t>
        </is>
      </c>
      <c r="E363" s="16" t="inlineStr">
        <is>
          <t>May 2026</t>
        </is>
      </c>
    </row>
    <row r="364">
      <c r="A364" s="15" t="n">
        <v>46171</v>
      </c>
      <c r="B364" s="16" t="inlineStr">
        <is>
          <t>SUNGLASS HUT/WATCH KATY TX</t>
        </is>
      </c>
      <c r="C364" s="17" t="n">
        <v>144.74</v>
      </c>
      <c r="D364" s="16" t="inlineStr">
        <is>
          <t>Shopping</t>
        </is>
      </c>
      <c r="E364" s="16" t="inlineStr">
        <is>
          <t>May 2026</t>
        </is>
      </c>
    </row>
    <row r="365">
      <c r="A365" s="15" t="n">
        <v>46171</v>
      </c>
      <c r="B365" s="16" t="inlineStr">
        <is>
          <t>TARGET STORE T-2882 KATY TX</t>
        </is>
      </c>
      <c r="C365" s="17" t="n">
        <v>47.39</v>
      </c>
      <c r="D365" s="16" t="inlineStr">
        <is>
          <t>Shopping</t>
        </is>
      </c>
      <c r="E365" s="16" t="inlineStr">
        <is>
          <t>May 2026</t>
        </is>
      </c>
    </row>
    <row r="366">
      <c r="A366" s="15" t="n">
        <v>46171</v>
      </c>
      <c r="B366" s="16" t="inlineStr">
        <is>
          <t>TRIVENI SUPERMARKET KATY TX</t>
        </is>
      </c>
      <c r="C366" s="17" t="n">
        <v>14</v>
      </c>
      <c r="D366" s="16" t="inlineStr">
        <is>
          <t>Groceries</t>
        </is>
      </c>
      <c r="E366" s="16" t="inlineStr">
        <is>
          <t>May 2026</t>
        </is>
      </c>
    </row>
    <row r="367">
      <c r="A367" s="15" t="n">
        <v>46171</v>
      </c>
      <c r="B367" s="16" t="inlineStr">
        <is>
          <t>TRIVENI SUPERMARKET KATY TX</t>
        </is>
      </c>
      <c r="C367" s="17" t="n">
        <v>78.09999999999999</v>
      </c>
      <c r="D367" s="16" t="inlineStr">
        <is>
          <t>Groceries</t>
        </is>
      </c>
      <c r="E367" s="16" t="inlineStr">
        <is>
          <t>May 2026</t>
        </is>
      </c>
    </row>
    <row r="368">
      <c r="A368" s="15" t="n">
        <v>46172</v>
      </c>
      <c r="B368" s="16" t="inlineStr">
        <is>
          <t>AMAZON MARKETPLACE NAMZN.COM/BILL WA</t>
        </is>
      </c>
      <c r="C368" s="17" t="n">
        <v>-10.81</v>
      </c>
      <c r="D368" s="16" t="inlineStr">
        <is>
          <t>Shopping</t>
        </is>
      </c>
      <c r="E368" s="16" t="inlineStr">
        <is>
          <t>May 2026</t>
        </is>
      </c>
    </row>
    <row r="369">
      <c r="A369" s="15" t="n">
        <v>46172</v>
      </c>
      <c r="B369" s="16" t="inlineStr">
        <is>
          <t>AMAZON MARKEPLACE NA PA</t>
        </is>
      </c>
      <c r="C369" s="17" t="n">
        <v>6.48</v>
      </c>
      <c r="D369" s="16" t="inlineStr">
        <is>
          <t>Shopping</t>
        </is>
      </c>
      <c r="E369" s="16" t="inlineStr">
        <is>
          <t>May 2026</t>
        </is>
      </c>
    </row>
    <row r="370">
      <c r="A370" s="15" t="n">
        <v>46172</v>
      </c>
      <c r="B370" s="16" t="inlineStr">
        <is>
          <t>AMAZON MARKEPLACE NA PA</t>
        </is>
      </c>
      <c r="C370" s="17" t="n">
        <v>38.97</v>
      </c>
      <c r="D370" s="16" t="inlineStr">
        <is>
          <t>Shopping</t>
        </is>
      </c>
      <c r="E370" s="16" t="inlineStr">
        <is>
          <t>May 2026</t>
        </is>
      </c>
    </row>
    <row r="371">
      <c r="A371" s="15" t="n">
        <v>46172</v>
      </c>
      <c r="B371" s="16" t="inlineStr">
        <is>
          <t>AMAZON MARKEPLACE NA PA</t>
        </is>
      </c>
      <c r="C371" s="17" t="n">
        <v>75.76000000000001</v>
      </c>
      <c r="D371" s="16" t="inlineStr">
        <is>
          <t>Shopping</t>
        </is>
      </c>
      <c r="E371" s="16" t="inlineStr">
        <is>
          <t>May 2026</t>
        </is>
      </c>
    </row>
    <row r="372">
      <c r="A372" s="15" t="n">
        <v>46172</v>
      </c>
      <c r="B372" s="16" t="inlineStr">
        <is>
          <t>AMAZON.COM AMZN.COM/BILL WA</t>
        </is>
      </c>
      <c r="C372" s="17" t="n">
        <v>10.79</v>
      </c>
      <c r="D372" s="16" t="inlineStr">
        <is>
          <t>Shopping</t>
        </is>
      </c>
      <c r="E372" s="16" t="inlineStr">
        <is>
          <t>May 2026</t>
        </is>
      </c>
    </row>
    <row r="373">
      <c r="A373" s="15" t="n">
        <v>46172</v>
      </c>
      <c r="B373" s="16" t="inlineStr">
        <is>
          <t>AplPay HASHTAGINDIA.MCKINNEY TX</t>
        </is>
      </c>
      <c r="C373" s="17" t="n">
        <v>44.06</v>
      </c>
      <c r="D373" s="16" t="inlineStr">
        <is>
          <t>Dining Out</t>
        </is>
      </c>
      <c r="E373" s="16" t="inlineStr">
        <is>
          <t>May 2026</t>
        </is>
      </c>
    </row>
    <row r="374">
      <c r="A374" s="15" t="n">
        <v>46172</v>
      </c>
      <c r="B374" s="16" t="inlineStr">
        <is>
          <t>GUESS KATY MILLS KATY TX</t>
        </is>
      </c>
      <c r="C374" s="17" t="n">
        <v>-48.7</v>
      </c>
      <c r="D374" s="16" t="inlineStr">
        <is>
          <t>Shopping</t>
        </is>
      </c>
      <c r="E374" s="16" t="inlineStr">
        <is>
          <t>May 2026</t>
        </is>
      </c>
    </row>
    <row r="375">
      <c r="A375" s="15" t="n">
        <v>46172</v>
      </c>
      <c r="B375" s="16" t="inlineStr">
        <is>
          <t>TST* HASHTAG INDIA -CYPRESS TX</t>
        </is>
      </c>
      <c r="C375" s="17" t="n">
        <v>2.16</v>
      </c>
      <c r="D375" s="16" t="inlineStr">
        <is>
          <t>Dining Out</t>
        </is>
      </c>
      <c r="E375" s="16" t="inlineStr">
        <is>
          <t>May 2026</t>
        </is>
      </c>
    </row>
    <row r="376">
      <c r="A376" s="15" t="n">
        <v>46173</v>
      </c>
      <c r="B376" s="16" t="inlineStr">
        <is>
          <t>AMAZON MARKEPLACE NA PA</t>
        </is>
      </c>
      <c r="C376" s="17" t="n">
        <v>19.47</v>
      </c>
      <c r="D376" s="16" t="inlineStr">
        <is>
          <t>Shopping</t>
        </is>
      </c>
      <c r="E376" s="16" t="inlineStr">
        <is>
          <t>May 2026</t>
        </is>
      </c>
    </row>
    <row r="377">
      <c r="A377" s="15" t="n">
        <v>46174</v>
      </c>
      <c r="B377" s="16" t="inlineStr">
        <is>
          <t>H-E-B #709 000000000CYPRESS TX</t>
        </is>
      </c>
      <c r="C377" s="17" t="n">
        <v>104.32</v>
      </c>
      <c r="D377" s="16" t="inlineStr">
        <is>
          <t>Groceries</t>
        </is>
      </c>
      <c r="E377" s="16" t="inlineStr">
        <is>
          <t>Jun 2026</t>
        </is>
      </c>
    </row>
    <row r="378">
      <c r="A378" s="15" t="n">
        <v>46174</v>
      </c>
      <c r="B378" s="16" t="inlineStr">
        <is>
          <t>TST* HASHTAG INDIA -CYPRESS TX</t>
        </is>
      </c>
      <c r="C378" s="17" t="n">
        <v>7.56</v>
      </c>
      <c r="D378" s="16" t="inlineStr">
        <is>
          <t>Dining Out</t>
        </is>
      </c>
      <c r="E378" s="16" t="inlineStr">
        <is>
          <t>Jun 2026</t>
        </is>
      </c>
    </row>
    <row r="379">
      <c r="A379" s="15" t="n">
        <v>46175</v>
      </c>
      <c r="B379" s="16" t="inlineStr">
        <is>
          <t>HIMALYA BAZAAR CYPRESS TX</t>
        </is>
      </c>
      <c r="C379" s="17" t="n">
        <v>56.08</v>
      </c>
      <c r="D379" s="16" t="inlineStr">
        <is>
          <t>Groceries</t>
        </is>
      </c>
      <c r="E379" s="16" t="inlineStr">
        <is>
          <t>Jun 2026</t>
        </is>
      </c>
    </row>
    <row r="380">
      <c r="A380" s="15" t="n">
        <v>46175</v>
      </c>
      <c r="B380" s="16" t="inlineStr">
        <is>
          <t>THE VOLLEYBALL SCHOOKATY TX</t>
        </is>
      </c>
      <c r="C380" s="17" t="n">
        <v>320</v>
      </c>
      <c r="D380" s="16" t="inlineStr">
        <is>
          <t>Health &amp; Fitness</t>
        </is>
      </c>
      <c r="E380" s="16" t="inlineStr">
        <is>
          <t>Jun 2026</t>
        </is>
      </c>
    </row>
    <row r="381">
      <c r="A381" s="15" t="n">
        <v>46176</v>
      </c>
      <c r="B381" s="16" t="inlineStr">
        <is>
          <t>AMAZON.COM AMZN.COM/BILL WA</t>
        </is>
      </c>
      <c r="C381" s="17" t="n">
        <v>29.96</v>
      </c>
      <c r="D381" s="16" t="inlineStr">
        <is>
          <t>Shopping</t>
        </is>
      </c>
      <c r="E381" s="16" t="inlineStr">
        <is>
          <t>Jun 2026</t>
        </is>
      </c>
    </row>
    <row r="382">
      <c r="A382" s="15" t="n">
        <v>46176</v>
      </c>
      <c r="B382" s="16" t="inlineStr">
        <is>
          <t>AplPay FANDANGO *BEVERLY HILLS CA</t>
        </is>
      </c>
      <c r="C382" s="17" t="n">
        <v>71.52</v>
      </c>
      <c r="D382" s="16" t="inlineStr">
        <is>
          <t>Entertainment</t>
        </is>
      </c>
      <c r="E382" s="16" t="inlineStr">
        <is>
          <t>Jun 2026</t>
        </is>
      </c>
    </row>
    <row r="383">
      <c r="A383" s="15" t="n">
        <v>46176</v>
      </c>
      <c r="B383" s="16" t="inlineStr">
        <is>
          <t>TST* HASHTAG INDIA -CYPRESS TX</t>
        </is>
      </c>
      <c r="C383" s="17" t="n">
        <v>2.15</v>
      </c>
      <c r="D383" s="16" t="inlineStr">
        <is>
          <t>Dining Out</t>
        </is>
      </c>
      <c r="E383" s="16" t="inlineStr">
        <is>
          <t>Jun 2026</t>
        </is>
      </c>
    </row>
    <row r="384">
      <c r="A384" s="15" t="n">
        <v>46176</v>
      </c>
      <c r="B384" s="16" t="inlineStr">
        <is>
          <t>TST* HASHTAG INDIA -CYPRESS TX</t>
        </is>
      </c>
      <c r="C384" s="17" t="n">
        <v>8.630000000000001</v>
      </c>
      <c r="D384" s="16" t="inlineStr">
        <is>
          <t>Dining Out</t>
        </is>
      </c>
      <c r="E384" s="16" t="inlineStr">
        <is>
          <t>Jun 2026</t>
        </is>
      </c>
    </row>
    <row r="385">
      <c r="A385" s="15" t="n">
        <v>46177</v>
      </c>
      <c r="B385" s="16" t="inlineStr">
        <is>
          <t>AMAZON MARKEPLACE NA PA</t>
        </is>
      </c>
      <c r="C385" s="17" t="n">
        <v>34.62</v>
      </c>
      <c r="D385" s="16" t="inlineStr">
        <is>
          <t>Shopping</t>
        </is>
      </c>
      <c r="E385" s="16" t="inlineStr">
        <is>
          <t>Jun 2026</t>
        </is>
      </c>
    </row>
    <row r="386">
      <c r="A386" s="15" t="n">
        <v>46177</v>
      </c>
      <c r="B386" s="16" t="inlineStr">
        <is>
          <t>AMAZON MARKEPLACE NA PA</t>
        </is>
      </c>
      <c r="C386" s="17" t="n">
        <v>37.88</v>
      </c>
      <c r="D386" s="16" t="inlineStr">
        <is>
          <t>Shopping</t>
        </is>
      </c>
      <c r="E386" s="16" t="inlineStr">
        <is>
          <t>Jun 2026</t>
        </is>
      </c>
    </row>
    <row r="387">
      <c r="A387" s="15" t="n">
        <v>46177</v>
      </c>
      <c r="B387" s="16" t="inlineStr">
        <is>
          <t>H-E-B #709 000000000CYPRESS TX</t>
        </is>
      </c>
      <c r="C387" s="17" t="n">
        <v>18.09</v>
      </c>
      <c r="D387" s="16" t="inlineStr">
        <is>
          <t>Groceries</t>
        </is>
      </c>
      <c r="E387" s="16" t="inlineStr">
        <is>
          <t>Jun 2026</t>
        </is>
      </c>
    </row>
    <row r="388">
      <c r="A388" s="15" t="n">
        <v>46177</v>
      </c>
      <c r="B388" s="16" t="inlineStr">
        <is>
          <t>HCTRA EZ TAG REBILL HOUSTON TX</t>
        </is>
      </c>
      <c r="C388" s="17" t="n">
        <v>40</v>
      </c>
      <c r="D388" s="16" t="inlineStr">
        <is>
          <t>Gas / Transit</t>
        </is>
      </c>
      <c r="E388" s="16" t="inlineStr">
        <is>
          <t>Jun 2026</t>
        </is>
      </c>
    </row>
    <row r="389">
      <c r="A389" s="15" t="n">
        <v>46177</v>
      </c>
      <c r="B389" s="16" t="inlineStr">
        <is>
          <t>ROYAL BIRYANI HOUSE Katy TX</t>
        </is>
      </c>
      <c r="C389" s="17" t="n">
        <v>58.41</v>
      </c>
      <c r="D389" s="16" t="inlineStr">
        <is>
          <t>Dining Out</t>
        </is>
      </c>
      <c r="E389" s="16" t="inlineStr">
        <is>
          <t>Jun 2026</t>
        </is>
      </c>
    </row>
    <row r="390">
      <c r="A390" s="15" t="n">
        <v>46177</v>
      </c>
      <c r="B390" s="16" t="inlineStr">
        <is>
          <t>THE VOLLEYBALL SCHOOKATY TX</t>
        </is>
      </c>
      <c r="C390" s="17" t="n">
        <v>180</v>
      </c>
      <c r="D390" s="16" t="inlineStr">
        <is>
          <t>Health &amp; Fitness</t>
        </is>
      </c>
      <c r="E390" s="16" t="inlineStr">
        <is>
          <t>Jun 2026</t>
        </is>
      </c>
    </row>
    <row r="391">
      <c r="A391" s="15" t="n">
        <v>46178</v>
      </c>
      <c r="B391" s="16" t="inlineStr">
        <is>
          <t>AMAZON MARKETPLACE NAMZN.COM/BILL WA</t>
        </is>
      </c>
      <c r="C391" s="17" t="n">
        <v>-75.76000000000001</v>
      </c>
      <c r="D391" s="16" t="inlineStr">
        <is>
          <t>Shopping</t>
        </is>
      </c>
      <c r="E391" s="16" t="inlineStr">
        <is>
          <t>Jun 2026</t>
        </is>
      </c>
    </row>
    <row r="392">
      <c r="A392" s="15" t="n">
        <v>46178</v>
      </c>
      <c r="B392" s="16" t="inlineStr">
        <is>
          <t>AMAZON MARKETPLACE NAMZN.COM/BILL WA</t>
        </is>
      </c>
      <c r="C392" s="17" t="n">
        <v>-12.98</v>
      </c>
      <c r="D392" s="16" t="inlineStr">
        <is>
          <t>Shopping</t>
        </is>
      </c>
      <c r="E392" s="16" t="inlineStr">
        <is>
          <t>Jun 2026</t>
        </is>
      </c>
    </row>
    <row r="393">
      <c r="A393" s="15" t="n">
        <v>46178</v>
      </c>
      <c r="B393" s="16" t="inlineStr">
        <is>
          <t>AplPay FANDANGO *BEVERLY HILLS CA</t>
        </is>
      </c>
      <c r="C393" s="17" t="n">
        <v>-64.95</v>
      </c>
      <c r="D393" s="16" t="inlineStr">
        <is>
          <t>Entertainment</t>
        </is>
      </c>
      <c r="E393" s="16" t="inlineStr">
        <is>
          <t>Jun 2026</t>
        </is>
      </c>
    </row>
    <row r="394">
      <c r="A394" s="15" t="n">
        <v>46178</v>
      </c>
      <c r="B394" s="16" t="inlineStr">
        <is>
          <t>AplPay PIZZA HUT 032CYPRESS TX</t>
        </is>
      </c>
      <c r="C394" s="17" t="n">
        <v>12.44</v>
      </c>
      <c r="D394" s="16" t="inlineStr">
        <is>
          <t>Dining Out</t>
        </is>
      </c>
      <c r="E394" s="16" t="inlineStr">
        <is>
          <t>Jun 2026</t>
        </is>
      </c>
    </row>
    <row r="395">
      <c r="A395" s="15" t="n">
        <v>46179</v>
      </c>
      <c r="B395" s="16" t="inlineStr">
        <is>
          <t>TST* AGAS RESTAURANTHOUSTON TX</t>
        </is>
      </c>
      <c r="C395" s="17" t="n">
        <v>7.57</v>
      </c>
      <c r="D395" s="16" t="inlineStr">
        <is>
          <t>Dining Out</t>
        </is>
      </c>
      <c r="E395" s="16" t="inlineStr">
        <is>
          <t>Jun 2026</t>
        </is>
      </c>
    </row>
    <row r="396">
      <c r="A396" s="15" t="n">
        <v>46179</v>
      </c>
      <c r="B396" s="16" t="inlineStr">
        <is>
          <t>TST* DESI DISTRICT -CYPRESS TX</t>
        </is>
      </c>
      <c r="C396" s="17" t="n">
        <v>11.97</v>
      </c>
      <c r="D396" s="16" t="inlineStr">
        <is>
          <t>Dining Out</t>
        </is>
      </c>
      <c r="E396" s="16" t="inlineStr">
        <is>
          <t>Jun 2026</t>
        </is>
      </c>
    </row>
    <row r="397">
      <c r="A397" s="15" t="n">
        <v>46180</v>
      </c>
      <c r="B397" s="16" t="inlineStr">
        <is>
          <t>AMAZON.COM AMZN.COM/BILL WA</t>
        </is>
      </c>
      <c r="C397" s="17" t="n">
        <v>12.68</v>
      </c>
      <c r="D397" s="16" t="inlineStr">
        <is>
          <t>Shopping</t>
        </is>
      </c>
      <c r="E397" s="16" t="inlineStr">
        <is>
          <t>Jun 2026</t>
        </is>
      </c>
    </row>
    <row r="398">
      <c r="A398" s="15" t="n">
        <v>46180</v>
      </c>
      <c r="B398" s="16" t="inlineStr">
        <is>
          <t>AplPay UBER EATS help.uber.com CA</t>
        </is>
      </c>
      <c r="C398" s="17" t="n">
        <v>56.15</v>
      </c>
      <c r="D398" s="16" t="inlineStr">
        <is>
          <t>Dining Out</t>
        </is>
      </c>
      <c r="E398" s="16" t="inlineStr">
        <is>
          <t>Jun 2026</t>
        </is>
      </c>
    </row>
    <row r="399">
      <c r="A399" s="15" t="n">
        <v>46180</v>
      </c>
      <c r="B399" s="16" t="inlineStr">
        <is>
          <t>DESI DISTRICT CYPRESCYPRESS TX</t>
        </is>
      </c>
      <c r="C399" s="17" t="n">
        <v>8.470000000000001</v>
      </c>
      <c r="D399" s="16" t="inlineStr">
        <is>
          <t>Dining Out</t>
        </is>
      </c>
      <c r="E399" s="16" t="inlineStr">
        <is>
          <t>Jun 2026</t>
        </is>
      </c>
    </row>
    <row r="400">
      <c r="A400" s="15" t="n">
        <v>46181</v>
      </c>
      <c r="B400" s="16" t="inlineStr">
        <is>
          <t>AMAZON.COM AMZN.COM/BILL WA</t>
        </is>
      </c>
      <c r="C400" s="17" t="n">
        <v>20.56</v>
      </c>
      <c r="D400" s="16" t="inlineStr">
        <is>
          <t>Shopping</t>
        </is>
      </c>
      <c r="E400" s="16" t="inlineStr">
        <is>
          <t>Jun 2026</t>
        </is>
      </c>
    </row>
    <row r="401">
      <c r="A401" s="15" t="n">
        <v>46181</v>
      </c>
      <c r="B401" s="16" t="inlineStr">
        <is>
          <t>AMAZON.COM AMZN.COM/BILL WA</t>
        </is>
      </c>
      <c r="C401" s="17" t="n">
        <v>32.73</v>
      </c>
      <c r="D401" s="16" t="inlineStr">
        <is>
          <t>Shopping</t>
        </is>
      </c>
      <c r="E401" s="16" t="inlineStr">
        <is>
          <t>Jun 2026</t>
        </is>
      </c>
    </row>
    <row r="402">
      <c r="A402" s="15" t="n">
        <v>46181</v>
      </c>
      <c r="B402" s="16" t="inlineStr">
        <is>
          <t>TST* DESI DISTRICT -CYPRESS TX</t>
        </is>
      </c>
      <c r="C402" s="17" t="n">
        <v>74.63</v>
      </c>
      <c r="D402" s="16" t="inlineStr">
        <is>
          <t>Dining Out</t>
        </is>
      </c>
      <c r="E402" s="16" t="inlineStr">
        <is>
          <t>Jun 2026</t>
        </is>
      </c>
    </row>
    <row r="403">
      <c r="A403" s="15" t="n">
        <v>46182</v>
      </c>
      <c r="B403" s="16" t="inlineStr">
        <is>
          <t>MOBILE PAYMENT - THANK YOU</t>
        </is>
      </c>
      <c r="C403" s="17" t="n">
        <v>-1567.13</v>
      </c>
      <c r="D403" s="16" t="inlineStr">
        <is>
          <t>Payments &amp; Adjustments</t>
        </is>
      </c>
      <c r="E403" s="16" t="inlineStr">
        <is>
          <t>Jun 2026</t>
        </is>
      </c>
    </row>
  </sheetData>
  <autoFilter ref="A1:E4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>
      <c r="A1" s="18" t="inlineStr">
        <is>
          <t>90-Day Spending Summary (Mar 12 – Jun 9, 2026)</t>
        </is>
      </c>
    </row>
    <row r="2">
      <c r="A2" s="2" t="inlineStr">
        <is>
          <t>Card charges net of refunds. Card payments excluded. Travel is one-off trip spend — tracked separately from monthly categories.</t>
        </is>
      </c>
    </row>
    <row r="4">
      <c r="A4" s="5" t="inlineStr">
        <is>
          <t>Category</t>
        </is>
      </c>
      <c r="B4" s="5" t="inlineStr">
        <is>
          <t>Mar 2026 ($)</t>
        </is>
      </c>
      <c r="C4" s="5" t="inlineStr">
        <is>
          <t>Apr 2026 ($)</t>
        </is>
      </c>
      <c r="D4" s="5" t="inlineStr">
        <is>
          <t>May 2026 ($)</t>
        </is>
      </c>
      <c r="E4" s="5" t="inlineStr">
        <is>
          <t>Jun 2026 ($)</t>
        </is>
      </c>
      <c r="F4" s="5" t="inlineStr">
        <is>
          <t>Total ($)</t>
        </is>
      </c>
      <c r="G4" s="5" t="inlineStr">
        <is>
          <t>Monthly Avg ($)</t>
        </is>
      </c>
      <c r="H4" s="5" t="inlineStr">
        <is>
          <t>% of Spend</t>
        </is>
      </c>
    </row>
    <row r="5">
      <c r="A5" s="16" t="inlineStr">
        <is>
          <t>Travel</t>
        </is>
      </c>
      <c r="B5" s="13">
        <f>SUMIFS(Transactions!$C$2:$C$403,Transactions!$D$2:$D$403,$A5,Transactions!$E$2:$E$403,"Mar 2026")</f>
        <v/>
      </c>
      <c r="C5" s="13">
        <f>SUMIFS(Transactions!$C$2:$C$403,Transactions!$D$2:$D$403,$A5,Transactions!$E$2:$E$403,"Apr 2026")</f>
        <v/>
      </c>
      <c r="D5" s="13">
        <f>SUMIFS(Transactions!$C$2:$C$403,Transactions!$D$2:$D$403,$A5,Transactions!$E$2:$E$403,"May 2026")</f>
        <v/>
      </c>
      <c r="E5" s="13">
        <f>SUMIFS(Transactions!$C$2:$C$403,Transactions!$D$2:$D$403,$A5,Transactions!$E$2:$E$403,"Jun 2026")</f>
        <v/>
      </c>
      <c r="F5" s="13">
        <f>SUM(B5:E5)</f>
        <v/>
      </c>
      <c r="G5" s="13">
        <f>F5/3</f>
        <v/>
      </c>
      <c r="H5" s="19">
        <f>IF($F$16=0,0,F5/$F$16)</f>
        <v/>
      </c>
    </row>
    <row r="6">
      <c r="A6" s="16" t="inlineStr">
        <is>
          <t>Shopping</t>
        </is>
      </c>
      <c r="B6" s="13">
        <f>SUMIFS(Transactions!$C$2:$C$403,Transactions!$D$2:$D$403,$A6,Transactions!$E$2:$E$403,"Mar 2026")</f>
        <v/>
      </c>
      <c r="C6" s="13">
        <f>SUMIFS(Transactions!$C$2:$C$403,Transactions!$D$2:$D$403,$A6,Transactions!$E$2:$E$403,"Apr 2026")</f>
        <v/>
      </c>
      <c r="D6" s="13">
        <f>SUMIFS(Transactions!$C$2:$C$403,Transactions!$D$2:$D$403,$A6,Transactions!$E$2:$E$403,"May 2026")</f>
        <v/>
      </c>
      <c r="E6" s="13">
        <f>SUMIFS(Transactions!$C$2:$C$403,Transactions!$D$2:$D$403,$A6,Transactions!$E$2:$E$403,"Jun 2026")</f>
        <v/>
      </c>
      <c r="F6" s="13">
        <f>SUM(B6:E6)</f>
        <v/>
      </c>
      <c r="G6" s="13">
        <f>F6/3</f>
        <v/>
      </c>
      <c r="H6" s="19">
        <f>IF($F$16=0,0,F6/$F$16)</f>
        <v/>
      </c>
    </row>
    <row r="7">
      <c r="A7" s="16" t="inlineStr">
        <is>
          <t>Dining Out</t>
        </is>
      </c>
      <c r="B7" s="13">
        <f>SUMIFS(Transactions!$C$2:$C$403,Transactions!$D$2:$D$403,$A7,Transactions!$E$2:$E$403,"Mar 2026")</f>
        <v/>
      </c>
      <c r="C7" s="13">
        <f>SUMIFS(Transactions!$C$2:$C$403,Transactions!$D$2:$D$403,$A7,Transactions!$E$2:$E$403,"Apr 2026")</f>
        <v/>
      </c>
      <c r="D7" s="13">
        <f>SUMIFS(Transactions!$C$2:$C$403,Transactions!$D$2:$D$403,$A7,Transactions!$E$2:$E$403,"May 2026")</f>
        <v/>
      </c>
      <c r="E7" s="13">
        <f>SUMIFS(Transactions!$C$2:$C$403,Transactions!$D$2:$D$403,$A7,Transactions!$E$2:$E$403,"Jun 2026")</f>
        <v/>
      </c>
      <c r="F7" s="13">
        <f>SUM(B7:E7)</f>
        <v/>
      </c>
      <c r="G7" s="13">
        <f>F7/3</f>
        <v/>
      </c>
      <c r="H7" s="19">
        <f>IF($F$16=0,0,F7/$F$16)</f>
        <v/>
      </c>
    </row>
    <row r="8">
      <c r="A8" s="16" t="inlineStr">
        <is>
          <t>Groceries</t>
        </is>
      </c>
      <c r="B8" s="13">
        <f>SUMIFS(Transactions!$C$2:$C$403,Transactions!$D$2:$D$403,$A8,Transactions!$E$2:$E$403,"Mar 2026")</f>
        <v/>
      </c>
      <c r="C8" s="13">
        <f>SUMIFS(Transactions!$C$2:$C$403,Transactions!$D$2:$D$403,$A8,Transactions!$E$2:$E$403,"Apr 2026")</f>
        <v/>
      </c>
      <c r="D8" s="13">
        <f>SUMIFS(Transactions!$C$2:$C$403,Transactions!$D$2:$D$403,$A8,Transactions!$E$2:$E$403,"May 2026")</f>
        <v/>
      </c>
      <c r="E8" s="13">
        <f>SUMIFS(Transactions!$C$2:$C$403,Transactions!$D$2:$D$403,$A8,Transactions!$E$2:$E$403,"Jun 2026")</f>
        <v/>
      </c>
      <c r="F8" s="13">
        <f>SUM(B8:E8)</f>
        <v/>
      </c>
      <c r="G8" s="13">
        <f>F8/3</f>
        <v/>
      </c>
      <c r="H8" s="19">
        <f>IF($F$16=0,0,F8/$F$16)</f>
        <v/>
      </c>
    </row>
    <row r="9">
      <c r="A9" s="16" t="inlineStr">
        <is>
          <t>Internet &amp; Phone</t>
        </is>
      </c>
      <c r="B9" s="13">
        <f>SUMIFS(Transactions!$C$2:$C$403,Transactions!$D$2:$D$403,$A9,Transactions!$E$2:$E$403,"Mar 2026")</f>
        <v/>
      </c>
      <c r="C9" s="13">
        <f>SUMIFS(Transactions!$C$2:$C$403,Transactions!$D$2:$D$403,$A9,Transactions!$E$2:$E$403,"Apr 2026")</f>
        <v/>
      </c>
      <c r="D9" s="13">
        <f>SUMIFS(Transactions!$C$2:$C$403,Transactions!$D$2:$D$403,$A9,Transactions!$E$2:$E$403,"May 2026")</f>
        <v/>
      </c>
      <c r="E9" s="13">
        <f>SUMIFS(Transactions!$C$2:$C$403,Transactions!$D$2:$D$403,$A9,Transactions!$E$2:$E$403,"Jun 2026")</f>
        <v/>
      </c>
      <c r="F9" s="13">
        <f>SUM(B9:E9)</f>
        <v/>
      </c>
      <c r="G9" s="13">
        <f>F9/3</f>
        <v/>
      </c>
      <c r="H9" s="19">
        <f>IF($F$16=0,0,F9/$F$16)</f>
        <v/>
      </c>
    </row>
    <row r="10">
      <c r="A10" s="16" t="inlineStr">
        <is>
          <t>Health &amp; Fitness</t>
        </is>
      </c>
      <c r="B10" s="13">
        <f>SUMIFS(Transactions!$C$2:$C$403,Transactions!$D$2:$D$403,$A10,Transactions!$E$2:$E$403,"Mar 2026")</f>
        <v/>
      </c>
      <c r="C10" s="13">
        <f>SUMIFS(Transactions!$C$2:$C$403,Transactions!$D$2:$D$403,$A10,Transactions!$E$2:$E$403,"Apr 2026")</f>
        <v/>
      </c>
      <c r="D10" s="13">
        <f>SUMIFS(Transactions!$C$2:$C$403,Transactions!$D$2:$D$403,$A10,Transactions!$E$2:$E$403,"May 2026")</f>
        <v/>
      </c>
      <c r="E10" s="13">
        <f>SUMIFS(Transactions!$C$2:$C$403,Transactions!$D$2:$D$403,$A10,Transactions!$E$2:$E$403,"Jun 2026")</f>
        <v/>
      </c>
      <c r="F10" s="13">
        <f>SUM(B10:E10)</f>
        <v/>
      </c>
      <c r="G10" s="13">
        <f>F10/3</f>
        <v/>
      </c>
      <c r="H10" s="19">
        <f>IF($F$16=0,0,F10/$F$16)</f>
        <v/>
      </c>
    </row>
    <row r="11">
      <c r="A11" s="16" t="inlineStr">
        <is>
          <t>Gas / Transit</t>
        </is>
      </c>
      <c r="B11" s="13">
        <f>SUMIFS(Transactions!$C$2:$C$403,Transactions!$D$2:$D$403,$A11,Transactions!$E$2:$E$403,"Mar 2026")</f>
        <v/>
      </c>
      <c r="C11" s="13">
        <f>SUMIFS(Transactions!$C$2:$C$403,Transactions!$D$2:$D$403,$A11,Transactions!$E$2:$E$403,"Apr 2026")</f>
        <v/>
      </c>
      <c r="D11" s="13">
        <f>SUMIFS(Transactions!$C$2:$C$403,Transactions!$D$2:$D$403,$A11,Transactions!$E$2:$E$403,"May 2026")</f>
        <v/>
      </c>
      <c r="E11" s="13">
        <f>SUMIFS(Transactions!$C$2:$C$403,Transactions!$D$2:$D$403,$A11,Transactions!$E$2:$E$403,"Jun 2026")</f>
        <v/>
      </c>
      <c r="F11" s="13">
        <f>SUM(B11:E11)</f>
        <v/>
      </c>
      <c r="G11" s="13">
        <f>F11/3</f>
        <v/>
      </c>
      <c r="H11" s="19">
        <f>IF($F$16=0,0,F11/$F$16)</f>
        <v/>
      </c>
    </row>
    <row r="12">
      <c r="A12" s="16" t="inlineStr">
        <is>
          <t>Entertainment</t>
        </is>
      </c>
      <c r="B12" s="13">
        <f>SUMIFS(Transactions!$C$2:$C$403,Transactions!$D$2:$D$403,$A12,Transactions!$E$2:$E$403,"Mar 2026")</f>
        <v/>
      </c>
      <c r="C12" s="13">
        <f>SUMIFS(Transactions!$C$2:$C$403,Transactions!$D$2:$D$403,$A12,Transactions!$E$2:$E$403,"Apr 2026")</f>
        <v/>
      </c>
      <c r="D12" s="13">
        <f>SUMIFS(Transactions!$C$2:$C$403,Transactions!$D$2:$D$403,$A12,Transactions!$E$2:$E$403,"May 2026")</f>
        <v/>
      </c>
      <c r="E12" s="13">
        <f>SUMIFS(Transactions!$C$2:$C$403,Transactions!$D$2:$D$403,$A12,Transactions!$E$2:$E$403,"Jun 2026")</f>
        <v/>
      </c>
      <c r="F12" s="13">
        <f>SUM(B12:E12)</f>
        <v/>
      </c>
      <c r="G12" s="13">
        <f>F12/3</f>
        <v/>
      </c>
      <c r="H12" s="19">
        <f>IF($F$16=0,0,F12/$F$16)</f>
        <v/>
      </c>
    </row>
    <row r="13">
      <c r="A13" s="16" t="inlineStr">
        <is>
          <t>Miscellaneous</t>
        </is>
      </c>
      <c r="B13" s="13">
        <f>SUMIFS(Transactions!$C$2:$C$403,Transactions!$D$2:$D$403,$A13,Transactions!$E$2:$E$403,"Mar 2026")</f>
        <v/>
      </c>
      <c r="C13" s="13">
        <f>SUMIFS(Transactions!$C$2:$C$403,Transactions!$D$2:$D$403,$A13,Transactions!$E$2:$E$403,"Apr 2026")</f>
        <v/>
      </c>
      <c r="D13" s="13">
        <f>SUMIFS(Transactions!$C$2:$C$403,Transactions!$D$2:$D$403,$A13,Transactions!$E$2:$E$403,"May 2026")</f>
        <v/>
      </c>
      <c r="E13" s="13">
        <f>SUMIFS(Transactions!$C$2:$C$403,Transactions!$D$2:$D$403,$A13,Transactions!$E$2:$E$403,"Jun 2026")</f>
        <v/>
      </c>
      <c r="F13" s="13">
        <f>SUM(B13:E13)</f>
        <v/>
      </c>
      <c r="G13" s="13">
        <f>F13/3</f>
        <v/>
      </c>
      <c r="H13" s="19">
        <f>IF($F$16=0,0,F13/$F$16)</f>
        <v/>
      </c>
    </row>
    <row r="14">
      <c r="A14" s="16" t="inlineStr">
        <is>
          <t>Subscriptions</t>
        </is>
      </c>
      <c r="B14" s="13">
        <f>SUMIFS(Transactions!$C$2:$C$403,Transactions!$D$2:$D$403,$A14,Transactions!$E$2:$E$403,"Mar 2026")</f>
        <v/>
      </c>
      <c r="C14" s="13">
        <f>SUMIFS(Transactions!$C$2:$C$403,Transactions!$D$2:$D$403,$A14,Transactions!$E$2:$E$403,"Apr 2026")</f>
        <v/>
      </c>
      <c r="D14" s="13">
        <f>SUMIFS(Transactions!$C$2:$C$403,Transactions!$D$2:$D$403,$A14,Transactions!$E$2:$E$403,"May 2026")</f>
        <v/>
      </c>
      <c r="E14" s="13">
        <f>SUMIFS(Transactions!$C$2:$C$403,Transactions!$D$2:$D$403,$A14,Transactions!$E$2:$E$403,"Jun 2026")</f>
        <v/>
      </c>
      <c r="F14" s="13">
        <f>SUM(B14:E14)</f>
        <v/>
      </c>
      <c r="G14" s="13">
        <f>F14/3</f>
        <v/>
      </c>
      <c r="H14" s="19">
        <f>IF($F$16=0,0,F14/$F$16)</f>
        <v/>
      </c>
    </row>
    <row r="15">
      <c r="A15" s="16" t="inlineStr">
        <is>
          <t>Personal Care</t>
        </is>
      </c>
      <c r="B15" s="13">
        <f>SUMIFS(Transactions!$C$2:$C$403,Transactions!$D$2:$D$403,$A15,Transactions!$E$2:$E$403,"Mar 2026")</f>
        <v/>
      </c>
      <c r="C15" s="13">
        <f>SUMIFS(Transactions!$C$2:$C$403,Transactions!$D$2:$D$403,$A15,Transactions!$E$2:$E$403,"Apr 2026")</f>
        <v/>
      </c>
      <c r="D15" s="13">
        <f>SUMIFS(Transactions!$C$2:$C$403,Transactions!$D$2:$D$403,$A15,Transactions!$E$2:$E$403,"May 2026")</f>
        <v/>
      </c>
      <c r="E15" s="13">
        <f>SUMIFS(Transactions!$C$2:$C$403,Transactions!$D$2:$D$403,$A15,Transactions!$E$2:$E$403,"Jun 2026")</f>
        <v/>
      </c>
      <c r="F15" s="13">
        <f>SUM(B15:E15)</f>
        <v/>
      </c>
      <c r="G15" s="13">
        <f>F15/3</f>
        <v/>
      </c>
      <c r="H15" s="19">
        <f>IF($F$16=0,0,F15/$F$16)</f>
        <v/>
      </c>
    </row>
    <row r="16">
      <c r="A16" s="8" t="inlineStr">
        <is>
          <t>Total Spending</t>
        </is>
      </c>
      <c r="B16" s="9">
        <f>SUM(B5:B15)</f>
        <v/>
      </c>
      <c r="C16" s="9">
        <f>SUM(C5:C15)</f>
        <v/>
      </c>
      <c r="D16" s="9">
        <f>SUM(D5:D15)</f>
        <v/>
      </c>
      <c r="E16" s="9">
        <f>SUM(E5:E15)</f>
        <v/>
      </c>
      <c r="F16" s="9">
        <f>SUM(F5:F15)</f>
        <v/>
      </c>
      <c r="G16" s="9">
        <f>SUM(G5:G15)</f>
        <v/>
      </c>
      <c r="H16" s="12" t="n">
        <v>1</v>
      </c>
    </row>
    <row r="17">
      <c r="A17" s="8" t="inlineStr">
        <is>
          <t>Total excl. Travel</t>
        </is>
      </c>
      <c r="B17" s="9">
        <f>B16-B5</f>
        <v/>
      </c>
      <c r="C17" s="9">
        <f>C16-C5</f>
        <v/>
      </c>
      <c r="D17" s="9">
        <f>D16-D5</f>
        <v/>
      </c>
      <c r="E17" s="9">
        <f>E16-E5</f>
        <v/>
      </c>
      <c r="F17" s="9">
        <f>F16-F5</f>
        <v/>
      </c>
      <c r="G17" s="9">
        <f>G16-G5</f>
        <v/>
      </c>
      <c r="H17" s="12">
        <f>IF(F16=0,0,F17/F16)</f>
        <v/>
      </c>
    </row>
    <row r="19">
      <c r="A19" s="20" t="inlineStr">
        <is>
          <t>Card payments made (excluded)</t>
        </is>
      </c>
      <c r="F19" s="21">
        <f>SUMIFS(Transactions!$C$2:$C$403,Transactions!$D$2:$D$403,"Payments &amp; Adjustments")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2026-06-11T03:35:37Z</dcterms:created>
  <dcterms:modified xmlns:dcterms="http://purl.org/dc/terms/" xmlns:xsi="http://www.w3.org/2001/XMLSchema-instance" xsi:type="dcterms:W3CDTF">2026-06-11T03:51:37Z</dcterms:modified>
</cp:coreProperties>
</file>